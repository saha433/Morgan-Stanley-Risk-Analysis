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VaR Analysis" sheetId="2" state="visible" r:id="rId2"/>
    <sheet xmlns:r="http://schemas.openxmlformats.org/officeDocument/2006/relationships" name="Scenario Analysis" sheetId="3" state="visible" r:id="rId3"/>
    <sheet xmlns:r="http://schemas.openxmlformats.org/officeDocument/2006/relationships" name="Stress Testing" sheetId="4" state="visible" r:id="rId4"/>
    <sheet xmlns:r="http://schemas.openxmlformats.org/officeDocument/2006/relationships" name="Risk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#,##0.0"/>
    <numFmt numFmtId="167" formatCode="0.0&quot;%&quot;"/>
  </numFmts>
  <fonts count="14">
    <font>
      <name val="Calibri"/>
      <family val="2"/>
      <color theme="1"/>
      <sz val="11"/>
      <scheme val="minor"/>
    </font>
    <font>
      <name val="Arial"/>
      <b val="1"/>
      <color rgb="00E8EAF0"/>
      <sz val="14"/>
    </font>
    <font>
      <name val="Arial"/>
      <i val="1"/>
      <color rgb="00D0D8E4"/>
      <sz val="9"/>
    </font>
    <font>
      <name val="Arial"/>
      <b val="1"/>
      <color rgb="00E8EAF0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E8EAF0"/>
      <sz val="9"/>
    </font>
    <font>
      <name val="Arial"/>
      <b val="1"/>
      <color rgb="00E8EAF0"/>
      <sz val="8.5"/>
    </font>
    <font>
      <name val="Arial"/>
      <b val="1"/>
      <color rgb="00E8EAF0"/>
      <sz val="12"/>
    </font>
    <font>
      <name val="Arial"/>
      <b val="1"/>
      <color rgb="00D0D8E4"/>
      <sz val="9"/>
    </font>
    <font>
      <name val="Arial"/>
      <i val="1"/>
      <color rgb="00333333"/>
      <sz val="8.5"/>
    </font>
    <font>
      <name val="Arial"/>
      <b val="1"/>
      <color rgb="00D0D8E4"/>
      <sz val="8"/>
    </font>
    <font>
      <name val="Arial"/>
      <b val="1"/>
      <color rgb="00E8EAF0"/>
      <sz val="18"/>
    </font>
    <font>
      <name val="Arial"/>
      <color rgb="001A1A1A"/>
      <sz val="8.5"/>
    </font>
  </fonts>
  <fills count="1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3A5C"/>
      </patternFill>
    </fill>
    <fill>
      <patternFill patternType="solid">
        <fgColor rgb="00F0F4F8"/>
      </patternFill>
    </fill>
    <fill>
      <patternFill patternType="solid">
        <fgColor rgb="00AA0000"/>
      </patternFill>
    </fill>
    <fill>
      <patternFill patternType="solid">
        <fgColor rgb="00E8F4FD"/>
      </patternFill>
    </fill>
    <fill>
      <patternFill patternType="solid">
        <fgColor rgb="001A4A1A"/>
      </patternFill>
    </fill>
    <fill>
      <patternFill patternType="solid">
        <fgColor rgb="00FFFFFF"/>
      </patternFill>
    </fill>
    <fill>
      <patternFill patternType="solid">
        <fgColor rgb="00884400"/>
      </patternFill>
    </fill>
    <fill>
      <patternFill patternType="solid">
        <fgColor rgb="00994400"/>
      </patternFill>
    </fill>
    <fill>
      <patternFill patternType="solid">
        <fgColor rgb="00336699"/>
      </patternFill>
    </fill>
    <fill>
      <patternFill patternType="solid">
        <fgColor rgb="003A3A00"/>
      </patternFill>
    </fill>
    <fill>
      <patternFill patternType="solid">
        <fgColor rgb="00006633"/>
      </patternFill>
    </fill>
    <fill>
      <patternFill patternType="solid">
        <fgColor rgb="001A1A4A"/>
      </patternFill>
    </fill>
    <fill>
      <patternFill patternType="solid">
        <fgColor rgb="00FFF0F0"/>
      </patternFill>
    </fill>
    <fill>
      <patternFill patternType="solid">
        <fgColor rgb="001A6633"/>
      </patternFill>
    </fill>
    <fill>
      <patternFill patternType="solid">
        <fgColor rgb="00664400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>
        <color rgb="008896A8"/>
      </left>
      <right style="thin">
        <color rgb="008896A8"/>
      </right>
      <top style="thin">
        <color rgb="008896A8"/>
      </top>
      <bottom style="thin">
        <color rgb="008896A8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 wrapText="1"/>
    </xf>
    <xf numFmtId="4" fontId="4" fillId="8" borderId="1" applyAlignment="1" pivotButton="0" quotePrefix="0" xfId="0">
      <alignment horizontal="center" vertical="center" wrapText="1"/>
    </xf>
    <xf numFmtId="4" fontId="5" fillId="8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4" fontId="3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166" fontId="4" fillId="8" borderId="1" applyAlignment="1" pivotButton="0" quotePrefix="0" xfId="0">
      <alignment horizontal="center" vertical="center" wrapText="1"/>
    </xf>
    <xf numFmtId="10" fontId="5" fillId="8" borderId="1" applyAlignment="1" pivotButton="0" quotePrefix="0" xfId="0">
      <alignment horizontal="center" vertical="center" wrapText="1"/>
    </xf>
    <xf numFmtId="166" fontId="4" fillId="15" borderId="1" applyAlignment="1" pivotButton="0" quotePrefix="0" xfId="0">
      <alignment horizontal="center" vertical="center" wrapText="1"/>
    </xf>
    <xf numFmtId="10" fontId="5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167" fontId="4" fillId="15" borderId="1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11" fillId="13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 wrapText="1"/>
    </xf>
    <xf numFmtId="0" fontId="12" fillId="10" borderId="0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0" customWidth="1" min="3" max="3"/>
    <col width="40" customWidth="1" min="4" max="4"/>
    <col width="35" customWidth="1" min="5" max="5"/>
    <col width="35" customWidth="1" min="6" max="6"/>
    <col width="14" customWidth="1" min="7" max="7"/>
    <col width="14" customWidth="1" min="8" max="8"/>
    <col width="10" customWidth="1" min="9" max="9"/>
    <col width="13" customWidth="1" min="10" max="10"/>
    <col width="12" customWidth="1" min="11" max="11"/>
    <col width="14" customWidth="1" min="12" max="12"/>
    <col width="14" customWidth="1" min="13" max="13"/>
    <col width="10" customWidth="1" min="14" max="14"/>
    <col width="13" customWidth="1" min="15" max="15"/>
    <col width="10" customWidth="1" min="16" max="16"/>
    <col width="38" customWidth="1" min="17" max="17"/>
    <col width="14" customWidth="1" min="18" max="18"/>
  </cols>
  <sheetData>
    <row r="1" ht="30" customHeight="1">
      <c r="A1" s="1" t="inlineStr">
        <is>
          <t>MORGAN STANLEY  –  ENTERPRISE RISK REGISTER</t>
        </is>
      </c>
    </row>
    <row r="2" ht="16" customHeight="1">
      <c r="A2" s="2" t="inlineStr">
        <is>
          <t>Source: Morgan Stanley Form 10-Q (Q3 2024)  |  27 Identified Risks Across 8 Sectors  |  Assessed using Likelihood × Impact Matrix</t>
        </is>
      </c>
    </row>
    <row r="3" ht="38" customHeight="1">
      <c r="A3" s="3" t="inlineStr">
        <is>
          <t>Risk ID</t>
        </is>
      </c>
      <c r="B3" s="3" t="inlineStr">
        <is>
          <t>Sector</t>
        </is>
      </c>
      <c r="C3" s="3" t="inlineStr">
        <is>
          <t>Risk Category</t>
        </is>
      </c>
      <c r="D3" s="3" t="inlineStr">
        <is>
          <t>Event Description</t>
        </is>
      </c>
      <c r="E3" s="3" t="inlineStr">
        <is>
          <t>Cause</t>
        </is>
      </c>
      <c r="F3" s="3" t="inlineStr">
        <is>
          <t>Consequence</t>
        </is>
      </c>
      <c r="G3" s="3" t="inlineStr">
        <is>
          <t>Inherent
Likelihood</t>
        </is>
      </c>
      <c r="H3" s="3" t="inlineStr">
        <is>
          <t>Inherent
Impact</t>
        </is>
      </c>
      <c r="I3" s="3" t="inlineStr">
        <is>
          <t>Inherent
Rating</t>
        </is>
      </c>
      <c r="J3" s="3" t="inlineStr">
        <is>
          <t>Rating Band</t>
        </is>
      </c>
      <c r="K3" s="3" t="inlineStr">
        <is>
          <t>Treatment</t>
        </is>
      </c>
      <c r="L3" s="3" t="inlineStr">
        <is>
          <t>Residual
Likelihood</t>
        </is>
      </c>
      <c r="M3" s="3" t="inlineStr">
        <is>
          <t>Residual
Impact</t>
        </is>
      </c>
      <c r="N3" s="3" t="inlineStr">
        <is>
          <t>Residual
Rating</t>
        </is>
      </c>
      <c r="O3" s="3" t="inlineStr">
        <is>
          <t>Residual Band</t>
        </is>
      </c>
      <c r="P3" s="3" t="inlineStr">
        <is>
          <t>Re-Rating
Score</t>
        </is>
      </c>
      <c r="Q3" s="3" t="inlineStr">
        <is>
          <t>Monitoring Method</t>
        </is>
      </c>
      <c r="R3" s="3" t="inlineStr">
        <is>
          <t>Status</t>
        </is>
      </c>
    </row>
    <row r="4" ht="46" customHeight="1">
      <c r="A4" s="4" t="n">
        <v>1</v>
      </c>
      <c r="B4" s="5" t="inlineStr">
        <is>
          <t>Sales &amp; Trading</t>
        </is>
      </c>
      <c r="C4" s="6" t="inlineStr">
        <is>
          <t>Market Risk</t>
        </is>
      </c>
      <c r="D4" s="5" t="inlineStr">
        <is>
          <t>Unexpected volatility in equity, fixed income, or commodity markets affecting trading results.</t>
        </is>
      </c>
      <c r="E4" s="5" t="inlineStr">
        <is>
          <t>Fluctuations in market prices and client activity due to geopolitical and economic shifts.</t>
        </is>
      </c>
      <c r="F4" s="5" t="inlineStr">
        <is>
          <t>Losses in trading revenue, valuation adjustments, and capital strain.</t>
        </is>
      </c>
      <c r="G4" s="7" t="inlineStr">
        <is>
          <t>Almost Certain</t>
        </is>
      </c>
      <c r="H4" s="7" t="inlineStr">
        <is>
          <t>Catastrophic</t>
        </is>
      </c>
      <c r="I4" s="8" t="n">
        <v>25</v>
      </c>
      <c r="J4" s="8" t="inlineStr">
        <is>
          <t>CATASTROPHIC</t>
        </is>
      </c>
      <c r="K4" s="9" t="inlineStr">
        <is>
          <t>ACCEPT</t>
        </is>
      </c>
      <c r="L4" s="7" t="inlineStr">
        <is>
          <t>Almost Certain</t>
        </is>
      </c>
      <c r="M4" s="7" t="inlineStr">
        <is>
          <t>Catastrophic</t>
        </is>
      </c>
      <c r="N4" s="8" t="n">
        <v>25</v>
      </c>
      <c r="O4" s="8" t="inlineStr">
        <is>
          <t>CATASTROPHIC</t>
        </is>
      </c>
      <c r="P4" s="8" t="n">
        <v>25</v>
      </c>
      <c r="Q4" s="5" t="inlineStr">
        <is>
          <t>Monitor daily P&amp;L, market movements, and stress-test results.</t>
        </is>
      </c>
      <c r="R4" s="10" t="inlineStr">
        <is>
          <t>Ongoing</t>
        </is>
      </c>
    </row>
    <row r="5" ht="46" customHeight="1">
      <c r="A5" s="11" t="n">
        <v>2</v>
      </c>
      <c r="B5" s="12" t="inlineStr">
        <is>
          <t>Wealth Management</t>
        </is>
      </c>
      <c r="C5" s="13" t="inlineStr">
        <is>
          <t>Credit Risk</t>
        </is>
      </c>
      <c r="D5" s="12" t="inlineStr">
        <is>
          <t>Client defaults on margin loans or securities-based lending.</t>
        </is>
      </c>
      <c r="E5" s="12" t="inlineStr">
        <is>
          <t>Deterioration in borrower creditworthiness and collateral value.</t>
        </is>
      </c>
      <c r="F5" s="12" t="inlineStr">
        <is>
          <t>Loan losses and increased credit provisions reducing profitability.</t>
        </is>
      </c>
      <c r="G5" s="14" t="inlineStr">
        <is>
          <t>Likely</t>
        </is>
      </c>
      <c r="H5" s="14" t="inlineStr">
        <is>
          <t>Major</t>
        </is>
      </c>
      <c r="I5" s="15" t="n">
        <v>16</v>
      </c>
      <c r="J5" s="15" t="inlineStr">
        <is>
          <t>VERY HIGH</t>
        </is>
      </c>
      <c r="K5" s="9" t="inlineStr">
        <is>
          <t>REDUCE</t>
        </is>
      </c>
      <c r="L5" s="14" t="inlineStr">
        <is>
          <t>Possible</t>
        </is>
      </c>
      <c r="M5" s="14" t="inlineStr">
        <is>
          <t>Major</t>
        </is>
      </c>
      <c r="N5" s="16" t="n">
        <v>12</v>
      </c>
      <c r="O5" s="16" t="inlineStr">
        <is>
          <t>HIGH</t>
        </is>
      </c>
      <c r="P5" s="16" t="n">
        <v>12</v>
      </c>
      <c r="Q5" s="12" t="inlineStr">
        <is>
          <t>Track borrower health and collateral values.</t>
        </is>
      </c>
      <c r="R5" s="10" t="inlineStr">
        <is>
          <t>Ongoing</t>
        </is>
      </c>
    </row>
    <row r="6" ht="46" customHeight="1">
      <c r="A6" s="4" t="n">
        <v>3</v>
      </c>
      <c r="B6" s="5" t="inlineStr">
        <is>
          <t>Sales &amp; Trading</t>
        </is>
      </c>
      <c r="C6" s="6" t="inlineStr">
        <is>
          <t>Liquidity Risk</t>
        </is>
      </c>
      <c r="D6" s="5" t="inlineStr">
        <is>
          <t>Difficulty meeting short-term funding or collateral requirements.</t>
        </is>
      </c>
      <c r="E6" s="5" t="inlineStr">
        <is>
          <t>Market stress or reduced access to secured financing.</t>
        </is>
      </c>
      <c r="F6" s="5" t="inlineStr">
        <is>
          <t>Increased funding costs or inability to settle trades.</t>
        </is>
      </c>
      <c r="G6" s="7" t="inlineStr">
        <is>
          <t>Possible</t>
        </is>
      </c>
      <c r="H6" s="7" t="inlineStr">
        <is>
          <t>Catastrophic</t>
        </is>
      </c>
      <c r="I6" s="15" t="n">
        <v>15</v>
      </c>
      <c r="J6" s="15" t="inlineStr">
        <is>
          <t>VERY HIGH</t>
        </is>
      </c>
      <c r="K6" s="9" t="inlineStr">
        <is>
          <t>REDUCE</t>
        </is>
      </c>
      <c r="L6" s="7" t="inlineStr">
        <is>
          <t>Unlikely</t>
        </is>
      </c>
      <c r="M6" s="7" t="inlineStr">
        <is>
          <t>Major</t>
        </is>
      </c>
      <c r="N6" s="17" t="n">
        <v>8</v>
      </c>
      <c r="O6" s="17" t="inlineStr">
        <is>
          <t>MODERATE</t>
        </is>
      </c>
      <c r="P6" s="17" t="n">
        <v>8</v>
      </c>
      <c r="Q6" s="5" t="inlineStr">
        <is>
          <t>Monitor liquidity buffers and funding sources.</t>
        </is>
      </c>
      <c r="R6" s="18" t="inlineStr">
        <is>
          <t>In Progress</t>
        </is>
      </c>
    </row>
    <row r="7" ht="46" customHeight="1">
      <c r="A7" s="11" t="n">
        <v>4</v>
      </c>
      <c r="B7" s="12" t="inlineStr">
        <is>
          <t>Wealth Management</t>
        </is>
      </c>
      <c r="C7" s="13" t="inlineStr">
        <is>
          <t>Operational Risk</t>
        </is>
      </c>
      <c r="D7" s="12" t="inlineStr">
        <is>
          <t>Process or system failure disrupts client transactions.</t>
        </is>
      </c>
      <c r="E7" s="12" t="inlineStr">
        <is>
          <t>Human error, inadequate internal controls, or system malfunction.</t>
        </is>
      </c>
      <c r="F7" s="12" t="inlineStr">
        <is>
          <t>Financial loss, client dissatisfaction, and regulatory scrutiny.</t>
        </is>
      </c>
      <c r="G7" s="14" t="inlineStr">
        <is>
          <t>Likely</t>
        </is>
      </c>
      <c r="H7" s="14" t="inlineStr">
        <is>
          <t>Moderate</t>
        </is>
      </c>
      <c r="I7" s="16" t="n">
        <v>12</v>
      </c>
      <c r="J7" s="16" t="inlineStr">
        <is>
          <t>HIGH</t>
        </is>
      </c>
      <c r="K7" s="9" t="inlineStr">
        <is>
          <t>REDUCE</t>
        </is>
      </c>
      <c r="L7" s="14" t="inlineStr">
        <is>
          <t>Possible</t>
        </is>
      </c>
      <c r="M7" s="14" t="inlineStr">
        <is>
          <t>Moderate</t>
        </is>
      </c>
      <c r="N7" s="16" t="n">
        <v>9</v>
      </c>
      <c r="O7" s="16" t="inlineStr">
        <is>
          <t>HIGH</t>
        </is>
      </c>
      <c r="P7" s="16" t="n">
        <v>9</v>
      </c>
      <c r="Q7" s="12" t="inlineStr">
        <is>
          <t>Review system uptime, errors, and control checks.</t>
        </is>
      </c>
      <c r="R7" s="10" t="inlineStr">
        <is>
          <t>Ongoing</t>
        </is>
      </c>
    </row>
    <row r="8" ht="46" customHeight="1">
      <c r="A8" s="4" t="n">
        <v>5</v>
      </c>
      <c r="B8" s="5" t="inlineStr">
        <is>
          <t>Investment Management</t>
        </is>
      </c>
      <c r="C8" s="6" t="inlineStr">
        <is>
          <t>Model Risk</t>
        </is>
      </c>
      <c r="D8" s="5" t="inlineStr">
        <is>
          <t>Inaccurate model output leads to wrong asset valuation or risk estimate.</t>
        </is>
      </c>
      <c r="E8" s="5" t="inlineStr">
        <is>
          <t>Errors in model assumptions, data inputs, or validation.</t>
        </is>
      </c>
      <c r="F8" s="5" t="inlineStr">
        <is>
          <t>Mispricing of assets and potential regulatory challenge.</t>
        </is>
      </c>
      <c r="G8" s="7" t="inlineStr">
        <is>
          <t>Possible</t>
        </is>
      </c>
      <c r="H8" s="7" t="inlineStr">
        <is>
          <t>Moderate</t>
        </is>
      </c>
      <c r="I8" s="16" t="n">
        <v>9</v>
      </c>
      <c r="J8" s="16" t="inlineStr">
        <is>
          <t>HIGH</t>
        </is>
      </c>
      <c r="K8" s="9" t="inlineStr">
        <is>
          <t>REDUCE</t>
        </is>
      </c>
      <c r="L8" s="7" t="inlineStr">
        <is>
          <t>Unlikely</t>
        </is>
      </c>
      <c r="M8" s="7" t="inlineStr">
        <is>
          <t>Minor</t>
        </is>
      </c>
      <c r="N8" s="19" t="n">
        <v>4</v>
      </c>
      <c r="O8" s="19" t="inlineStr">
        <is>
          <t>LOW</t>
        </is>
      </c>
      <c r="P8" s="19" t="n">
        <v>4</v>
      </c>
      <c r="Q8" s="5" t="inlineStr">
        <is>
          <t>Check model inputs, assumptions, and validation reports.</t>
        </is>
      </c>
      <c r="R8" s="10" t="inlineStr">
        <is>
          <t>Ongoing</t>
        </is>
      </c>
    </row>
    <row r="9" ht="46" customHeight="1">
      <c r="A9" s="11" t="n">
        <v>6</v>
      </c>
      <c r="B9" s="12" t="inlineStr">
        <is>
          <t>Investment Banking &amp; Capital Mkts</t>
        </is>
      </c>
      <c r="C9" s="13" t="inlineStr">
        <is>
          <t>Regulatory/Compliance Risk</t>
        </is>
      </c>
      <c r="D9" s="12" t="inlineStr">
        <is>
          <t>Breach of regulatory capital or reporting requirement.</t>
        </is>
      </c>
      <c r="E9" s="12" t="inlineStr">
        <is>
          <t>Complex, evolving global regulations and cross-jurisdictional rules.</t>
        </is>
      </c>
      <c r="F9" s="12" t="inlineStr">
        <is>
          <t>Fines, restrictions, and reputational damage.</t>
        </is>
      </c>
      <c r="G9" s="14" t="inlineStr">
        <is>
          <t>Possible</t>
        </is>
      </c>
      <c r="H9" s="14" t="inlineStr">
        <is>
          <t>Catastrophic</t>
        </is>
      </c>
      <c r="I9" s="15" t="n">
        <v>15</v>
      </c>
      <c r="J9" s="15" t="inlineStr">
        <is>
          <t>VERY HIGH</t>
        </is>
      </c>
      <c r="K9" s="9" t="inlineStr">
        <is>
          <t>REDUCE</t>
        </is>
      </c>
      <c r="L9" s="14" t="inlineStr">
        <is>
          <t>Unlikely</t>
        </is>
      </c>
      <c r="M9" s="14" t="inlineStr">
        <is>
          <t>Major</t>
        </is>
      </c>
      <c r="N9" s="17" t="n">
        <v>8</v>
      </c>
      <c r="O9" s="17" t="inlineStr">
        <is>
          <t>MODERATE</t>
        </is>
      </c>
      <c r="P9" s="17" t="n">
        <v>8</v>
      </c>
      <c r="Q9" s="12" t="inlineStr">
        <is>
          <t>Monitor compliance reports and regulatory updates.</t>
        </is>
      </c>
      <c r="R9" s="18" t="inlineStr">
        <is>
          <t>In Progress</t>
        </is>
      </c>
    </row>
    <row r="10" ht="46" customHeight="1">
      <c r="A10" s="4" t="n">
        <v>7</v>
      </c>
      <c r="B10" s="5" t="inlineStr">
        <is>
          <t>Sustainable Investing</t>
        </is>
      </c>
      <c r="C10" s="6" t="inlineStr">
        <is>
          <t>Reputational Risk</t>
        </is>
      </c>
      <c r="D10" s="5" t="inlineStr">
        <is>
          <t>Negative publicity from ESG misstatement or perceived inconsistency.</t>
        </is>
      </c>
      <c r="E10" s="5" t="inlineStr">
        <is>
          <t>Failure to meet sustainability disclosures or expectations.</t>
        </is>
      </c>
      <c r="F10" s="5" t="inlineStr">
        <is>
          <t>Loss of investor trust and reduced fund inflows.</t>
        </is>
      </c>
      <c r="G10" s="7" t="inlineStr">
        <is>
          <t>Unlikely</t>
        </is>
      </c>
      <c r="H10" s="7" t="inlineStr">
        <is>
          <t>Major</t>
        </is>
      </c>
      <c r="I10" s="17" t="n">
        <v>8</v>
      </c>
      <c r="J10" s="17" t="inlineStr">
        <is>
          <t>MODERATE</t>
        </is>
      </c>
      <c r="K10" s="9" t="inlineStr">
        <is>
          <t>REDUCE</t>
        </is>
      </c>
      <c r="L10" s="7" t="inlineStr">
        <is>
          <t>Unlikely</t>
        </is>
      </c>
      <c r="M10" s="7" t="inlineStr">
        <is>
          <t>Moderate</t>
        </is>
      </c>
      <c r="N10" s="17" t="n">
        <v>6</v>
      </c>
      <c r="O10" s="17" t="inlineStr">
        <is>
          <t>MODERATE</t>
        </is>
      </c>
      <c r="P10" s="17" t="n">
        <v>6</v>
      </c>
      <c r="Q10" s="5" t="inlineStr">
        <is>
          <t>Review ESG disclosures and sustainability reports.</t>
        </is>
      </c>
      <c r="R10" s="10" t="inlineStr">
        <is>
          <t>Ongoing</t>
        </is>
      </c>
    </row>
    <row r="11" ht="46" customHeight="1">
      <c r="A11" s="11" t="n">
        <v>8</v>
      </c>
      <c r="B11" s="12" t="inlineStr">
        <is>
          <t>Wealth Management</t>
        </is>
      </c>
      <c r="C11" s="13" t="inlineStr">
        <is>
          <t>Interest Rate Risk</t>
        </is>
      </c>
      <c r="D11" s="12" t="inlineStr">
        <is>
          <t>Changes in interest rates affect net interest income and loan margins.</t>
        </is>
      </c>
      <c r="E11" s="12" t="inlineStr">
        <is>
          <t>Shifts in central-bank policy and rate environment.</t>
        </is>
      </c>
      <c r="F11" s="12" t="inlineStr">
        <is>
          <t>Reduced earnings from lending and deposits.</t>
        </is>
      </c>
      <c r="G11" s="14" t="inlineStr">
        <is>
          <t>Likely</t>
        </is>
      </c>
      <c r="H11" s="14" t="inlineStr">
        <is>
          <t>Major</t>
        </is>
      </c>
      <c r="I11" s="15" t="n">
        <v>16</v>
      </c>
      <c r="J11" s="15" t="inlineStr">
        <is>
          <t>VERY HIGH</t>
        </is>
      </c>
      <c r="K11" s="9" t="inlineStr">
        <is>
          <t>SHARE</t>
        </is>
      </c>
      <c r="L11" s="14" t="inlineStr">
        <is>
          <t>Possible</t>
        </is>
      </c>
      <c r="M11" s="14" t="inlineStr">
        <is>
          <t>Major</t>
        </is>
      </c>
      <c r="N11" s="16" t="n">
        <v>12</v>
      </c>
      <c r="O11" s="16" t="inlineStr">
        <is>
          <t>HIGH</t>
        </is>
      </c>
      <c r="P11" s="16" t="n">
        <v>12</v>
      </c>
      <c r="Q11" s="12" t="inlineStr">
        <is>
          <t>Monitor rate changes and ALM reports.</t>
        </is>
      </c>
      <c r="R11" s="10" t="inlineStr">
        <is>
          <t>Ongoing</t>
        </is>
      </c>
    </row>
    <row r="12" ht="46" customHeight="1">
      <c r="A12" s="4" t="n">
        <v>9</v>
      </c>
      <c r="B12" s="5" t="inlineStr">
        <is>
          <t>Sales &amp; Trading</t>
        </is>
      </c>
      <c r="C12" s="6" t="inlineStr">
        <is>
          <t>FX Risk</t>
        </is>
      </c>
      <c r="D12" s="5" t="inlineStr">
        <is>
          <t>Currency fluctuations impact FX trading positions.</t>
        </is>
      </c>
      <c r="E12" s="5" t="inlineStr">
        <is>
          <t>Volatile macroeconomic conditions and policy divergence.</t>
        </is>
      </c>
      <c r="F12" s="5" t="inlineStr">
        <is>
          <t>Trading losses and hedging cost increases.</t>
        </is>
      </c>
      <c r="G12" s="7" t="inlineStr">
        <is>
          <t>Likely</t>
        </is>
      </c>
      <c r="H12" s="7" t="inlineStr">
        <is>
          <t>Moderate</t>
        </is>
      </c>
      <c r="I12" s="16" t="n">
        <v>12</v>
      </c>
      <c r="J12" s="16" t="inlineStr">
        <is>
          <t>HIGH</t>
        </is>
      </c>
      <c r="K12" s="9" t="inlineStr">
        <is>
          <t>REDUCE</t>
        </is>
      </c>
      <c r="L12" s="7" t="inlineStr">
        <is>
          <t>Possible</t>
        </is>
      </c>
      <c r="M12" s="7" t="inlineStr">
        <is>
          <t>Minor</t>
        </is>
      </c>
      <c r="N12" s="17" t="n">
        <v>6</v>
      </c>
      <c r="O12" s="17" t="inlineStr">
        <is>
          <t>MODERATE</t>
        </is>
      </c>
      <c r="P12" s="17" t="n">
        <v>6</v>
      </c>
      <c r="Q12" s="5" t="inlineStr">
        <is>
          <t>Track FX exposures and hedge positions.</t>
        </is>
      </c>
      <c r="R12" s="10" t="inlineStr">
        <is>
          <t>Ongoing</t>
        </is>
      </c>
    </row>
    <row r="13" ht="46" customHeight="1">
      <c r="A13" s="11" t="n">
        <v>10</v>
      </c>
      <c r="B13" s="12" t="inlineStr">
        <is>
          <t>Investment Management</t>
        </is>
      </c>
      <c r="C13" s="13" t="inlineStr">
        <is>
          <t>Valuation Risk</t>
        </is>
      </c>
      <c r="D13" s="12" t="inlineStr">
        <is>
          <t>Mis-valuation of portfolio assets in illiquid markets.</t>
        </is>
      </c>
      <c r="E13" s="12" t="inlineStr">
        <is>
          <t>Inaccurate pricing inputs or limited market data.</t>
        </is>
      </c>
      <c r="F13" s="12" t="inlineStr">
        <is>
          <t>Financial misstatement or NAV errors.</t>
        </is>
      </c>
      <c r="G13" s="14" t="inlineStr">
        <is>
          <t>Possible</t>
        </is>
      </c>
      <c r="H13" s="14" t="inlineStr">
        <is>
          <t>Major</t>
        </is>
      </c>
      <c r="I13" s="16" t="n">
        <v>12</v>
      </c>
      <c r="J13" s="16" t="inlineStr">
        <is>
          <t>HIGH</t>
        </is>
      </c>
      <c r="K13" s="9" t="inlineStr">
        <is>
          <t>REDUCE</t>
        </is>
      </c>
      <c r="L13" s="14" t="inlineStr">
        <is>
          <t>Unlikely</t>
        </is>
      </c>
      <c r="M13" s="14" t="inlineStr">
        <is>
          <t>Major</t>
        </is>
      </c>
      <c r="N13" s="17" t="n">
        <v>8</v>
      </c>
      <c r="O13" s="17" t="inlineStr">
        <is>
          <t>MODERATE</t>
        </is>
      </c>
      <c r="P13" s="17" t="n">
        <v>8</v>
      </c>
      <c r="Q13" s="12" t="inlineStr">
        <is>
          <t>Review pricing sources and valuation checks.</t>
        </is>
      </c>
      <c r="R13" s="18" t="inlineStr">
        <is>
          <t>In Progress</t>
        </is>
      </c>
    </row>
    <row r="14" ht="46" customHeight="1">
      <c r="A14" s="4" t="n">
        <v>11</v>
      </c>
      <c r="B14" s="5" t="inlineStr">
        <is>
          <t>Sales &amp; Trading</t>
        </is>
      </c>
      <c r="C14" s="6" t="inlineStr">
        <is>
          <t>Counterparty Risk</t>
        </is>
      </c>
      <c r="D14" s="5" t="inlineStr">
        <is>
          <t>Counterparty fails to perform on derivative or repo transactions.</t>
        </is>
      </c>
      <c r="E14" s="5" t="inlineStr">
        <is>
          <t>Credit deterioration or market stress leading to default.</t>
        </is>
      </c>
      <c r="F14" s="5" t="inlineStr">
        <is>
          <t>Losses due to uncollateralised exposure.</t>
        </is>
      </c>
      <c r="G14" s="7" t="inlineStr">
        <is>
          <t>Possible</t>
        </is>
      </c>
      <c r="H14" s="7" t="inlineStr">
        <is>
          <t>Catastrophic</t>
        </is>
      </c>
      <c r="I14" s="15" t="n">
        <v>15</v>
      </c>
      <c r="J14" s="15" t="inlineStr">
        <is>
          <t>VERY HIGH</t>
        </is>
      </c>
      <c r="K14" s="9" t="inlineStr">
        <is>
          <t>SHARE</t>
        </is>
      </c>
      <c r="L14" s="7" t="inlineStr">
        <is>
          <t>Possible</t>
        </is>
      </c>
      <c r="M14" s="7" t="inlineStr">
        <is>
          <t>Major</t>
        </is>
      </c>
      <c r="N14" s="16" t="n">
        <v>12</v>
      </c>
      <c r="O14" s="16" t="inlineStr">
        <is>
          <t>HIGH</t>
        </is>
      </c>
      <c r="P14" s="16" t="n">
        <v>12</v>
      </c>
      <c r="Q14" s="5" t="inlineStr">
        <is>
          <t>Track counterparty credit scores and collateral levels.</t>
        </is>
      </c>
      <c r="R14" s="10" t="inlineStr">
        <is>
          <t>Ongoing</t>
        </is>
      </c>
    </row>
    <row r="15" ht="46" customHeight="1">
      <c r="A15" s="11" t="n">
        <v>12</v>
      </c>
      <c r="B15" s="12" t="inlineStr">
        <is>
          <t>Wealth Management</t>
        </is>
      </c>
      <c r="C15" s="13" t="inlineStr">
        <is>
          <t>Cybersecurity Risk</t>
        </is>
      </c>
      <c r="D15" s="12" t="inlineStr">
        <is>
          <t>Cyber-attack disrupts digital platforms or exposes data.</t>
        </is>
      </c>
      <c r="E15" s="12" t="inlineStr">
        <is>
          <t>External malicious activity or insufficient cybersecurity controls.</t>
        </is>
      </c>
      <c r="F15" s="12" t="inlineStr">
        <is>
          <t>Operational disruption, data loss, and client trust damage.</t>
        </is>
      </c>
      <c r="G15" s="14" t="inlineStr">
        <is>
          <t>Likely</t>
        </is>
      </c>
      <c r="H15" s="14" t="inlineStr">
        <is>
          <t>Catastrophic</t>
        </is>
      </c>
      <c r="I15" s="8" t="n">
        <v>20</v>
      </c>
      <c r="J15" s="8" t="inlineStr">
        <is>
          <t>CATASTROPHIC</t>
        </is>
      </c>
      <c r="K15" s="9" t="inlineStr">
        <is>
          <t>REDUCE</t>
        </is>
      </c>
      <c r="L15" s="14" t="inlineStr">
        <is>
          <t>Possible</t>
        </is>
      </c>
      <c r="M15" s="14" t="inlineStr">
        <is>
          <t>Major</t>
        </is>
      </c>
      <c r="N15" s="16" t="n">
        <v>12</v>
      </c>
      <c r="O15" s="16" t="inlineStr">
        <is>
          <t>HIGH</t>
        </is>
      </c>
      <c r="P15" s="16" t="n">
        <v>12</v>
      </c>
      <c r="Q15" s="12" t="inlineStr">
        <is>
          <t>Monitor threat alerts, system logs, and security tests.</t>
        </is>
      </c>
      <c r="R15" s="20" t="inlineStr">
        <is>
          <t>Active Monitoring</t>
        </is>
      </c>
    </row>
    <row r="16" ht="46" customHeight="1">
      <c r="A16" s="4" t="n">
        <v>13</v>
      </c>
      <c r="B16" s="5" t="inlineStr">
        <is>
          <t>Morgan Stanley at Work</t>
        </is>
      </c>
      <c r="C16" s="6" t="inlineStr">
        <is>
          <t>Fraud/Theft Risk</t>
        </is>
      </c>
      <c r="D16" s="5" t="inlineStr">
        <is>
          <t>Misuse of employee stock or benefits data.</t>
        </is>
      </c>
      <c r="E16" s="5" t="inlineStr">
        <is>
          <t>Insider misconduct or weak verification controls.</t>
        </is>
      </c>
      <c r="F16" s="5" t="inlineStr">
        <is>
          <t>Financial loss and reputational damage.</t>
        </is>
      </c>
      <c r="G16" s="7" t="inlineStr">
        <is>
          <t>Unlikely</t>
        </is>
      </c>
      <c r="H16" s="7" t="inlineStr">
        <is>
          <t>Major</t>
        </is>
      </c>
      <c r="I16" s="17" t="n">
        <v>8</v>
      </c>
      <c r="J16" s="17" t="inlineStr">
        <is>
          <t>MODERATE</t>
        </is>
      </c>
      <c r="K16" s="9" t="inlineStr">
        <is>
          <t>REDUCE</t>
        </is>
      </c>
      <c r="L16" s="7" t="inlineStr">
        <is>
          <t>Unlikely</t>
        </is>
      </c>
      <c r="M16" s="7" t="inlineStr">
        <is>
          <t>Minor</t>
        </is>
      </c>
      <c r="N16" s="19" t="n">
        <v>4</v>
      </c>
      <c r="O16" s="19" t="inlineStr">
        <is>
          <t>LOW</t>
        </is>
      </c>
      <c r="P16" s="19" t="n">
        <v>4</v>
      </c>
      <c r="Q16" s="5" t="inlineStr">
        <is>
          <t>Check access logs and audit trails.</t>
        </is>
      </c>
      <c r="R16" s="10" t="inlineStr">
        <is>
          <t>Ongoing</t>
        </is>
      </c>
    </row>
    <row r="17" ht="46" customHeight="1">
      <c r="A17" s="11" t="n">
        <v>14</v>
      </c>
      <c r="B17" s="12" t="inlineStr">
        <is>
          <t>Wealth Management</t>
        </is>
      </c>
      <c r="C17" s="13" t="inlineStr">
        <is>
          <t>Client Risk</t>
        </is>
      </c>
      <c r="D17" s="12" t="inlineStr">
        <is>
          <t>Failure to meet client suitability or fiduciary standards.</t>
        </is>
      </c>
      <c r="E17" s="12" t="inlineStr">
        <is>
          <t>Mis-selling or inadequate client risk assessment.</t>
        </is>
      </c>
      <c r="F17" s="12" t="inlineStr">
        <is>
          <t>Legal liability and client attrition.</t>
        </is>
      </c>
      <c r="G17" s="14" t="inlineStr">
        <is>
          <t>Possible</t>
        </is>
      </c>
      <c r="H17" s="14" t="inlineStr">
        <is>
          <t>Major</t>
        </is>
      </c>
      <c r="I17" s="16" t="n">
        <v>12</v>
      </c>
      <c r="J17" s="16" t="inlineStr">
        <is>
          <t>HIGH</t>
        </is>
      </c>
      <c r="K17" s="9" t="inlineStr">
        <is>
          <t>REDUCE</t>
        </is>
      </c>
      <c r="L17" s="14" t="inlineStr">
        <is>
          <t>Unlikely</t>
        </is>
      </c>
      <c r="M17" s="14" t="inlineStr">
        <is>
          <t>Major</t>
        </is>
      </c>
      <c r="N17" s="17" t="n">
        <v>8</v>
      </c>
      <c r="O17" s="17" t="inlineStr">
        <is>
          <t>MODERATE</t>
        </is>
      </c>
      <c r="P17" s="17" t="n">
        <v>8</v>
      </c>
      <c r="Q17" s="12" t="inlineStr">
        <is>
          <t>Track client suitability checks and advisory reviews.</t>
        </is>
      </c>
      <c r="R17" s="10" t="inlineStr">
        <is>
          <t>Ongoing</t>
        </is>
      </c>
    </row>
    <row r="18" ht="46" customHeight="1">
      <c r="A18" s="4" t="n">
        <v>15</v>
      </c>
      <c r="B18" s="5" t="inlineStr">
        <is>
          <t>Investment Management</t>
        </is>
      </c>
      <c r="C18" s="6" t="inlineStr">
        <is>
          <t>Concentration Risk</t>
        </is>
      </c>
      <c r="D18" s="5" t="inlineStr">
        <is>
          <t>Over-exposure to specific sector or client in portfolios.</t>
        </is>
      </c>
      <c r="E18" s="5" t="inlineStr">
        <is>
          <t>Limited diversification or correlated investments.</t>
        </is>
      </c>
      <c r="F18" s="5" t="inlineStr">
        <is>
          <t>Portfolio losses in sector downturns.</t>
        </is>
      </c>
      <c r="G18" s="7" t="inlineStr">
        <is>
          <t>Possible</t>
        </is>
      </c>
      <c r="H18" s="7" t="inlineStr">
        <is>
          <t>Moderate</t>
        </is>
      </c>
      <c r="I18" s="16" t="n">
        <v>9</v>
      </c>
      <c r="J18" s="16" t="inlineStr">
        <is>
          <t>HIGH</t>
        </is>
      </c>
      <c r="K18" s="9" t="inlineStr">
        <is>
          <t>REDUCE</t>
        </is>
      </c>
      <c r="L18" s="7" t="inlineStr">
        <is>
          <t>Unlikely</t>
        </is>
      </c>
      <c r="M18" s="7" t="inlineStr">
        <is>
          <t>Minor</t>
        </is>
      </c>
      <c r="N18" s="19" t="n">
        <v>4</v>
      </c>
      <c r="O18" s="19" t="inlineStr">
        <is>
          <t>LOW</t>
        </is>
      </c>
      <c r="P18" s="19" t="n">
        <v>4</v>
      </c>
      <c r="Q18" s="5" t="inlineStr">
        <is>
          <t>Monitor sector exposure limits.</t>
        </is>
      </c>
      <c r="R18" s="18" t="inlineStr">
        <is>
          <t>In Progress</t>
        </is>
      </c>
    </row>
    <row r="19" ht="46" customHeight="1">
      <c r="A19" s="11" t="n">
        <v>16</v>
      </c>
      <c r="B19" s="12" t="inlineStr">
        <is>
          <t>Investment Management</t>
        </is>
      </c>
      <c r="C19" s="13" t="inlineStr">
        <is>
          <t>Performance Risk</t>
        </is>
      </c>
      <c r="D19" s="12" t="inlineStr">
        <is>
          <t>Underperformance of funds vs benchmarks.</t>
        </is>
      </c>
      <c r="E19" s="12" t="inlineStr">
        <is>
          <t>Market downturn or poor investment decisions.</t>
        </is>
      </c>
      <c r="F19" s="12" t="inlineStr">
        <is>
          <t>Reduced fees and investor withdrawals.</t>
        </is>
      </c>
      <c r="G19" s="14" t="inlineStr">
        <is>
          <t>Possible</t>
        </is>
      </c>
      <c r="H19" s="14" t="inlineStr">
        <is>
          <t>Major</t>
        </is>
      </c>
      <c r="I19" s="16" t="n">
        <v>12</v>
      </c>
      <c r="J19" s="16" t="inlineStr">
        <is>
          <t>HIGH</t>
        </is>
      </c>
      <c r="K19" s="9" t="inlineStr">
        <is>
          <t>ACCEPT</t>
        </is>
      </c>
      <c r="L19" s="14" t="inlineStr">
        <is>
          <t>Possible</t>
        </is>
      </c>
      <c r="M19" s="14" t="inlineStr">
        <is>
          <t>Moderate</t>
        </is>
      </c>
      <c r="N19" s="16" t="n">
        <v>9</v>
      </c>
      <c r="O19" s="16" t="inlineStr">
        <is>
          <t>HIGH</t>
        </is>
      </c>
      <c r="P19" s="16" t="n">
        <v>9</v>
      </c>
      <c r="Q19" s="12" t="inlineStr">
        <is>
          <t>Review benchmark comparisons and strategy reports.</t>
        </is>
      </c>
      <c r="R19" s="10" t="inlineStr">
        <is>
          <t>Ongoing</t>
        </is>
      </c>
    </row>
    <row r="20" ht="46" customHeight="1">
      <c r="A20" s="4" t="n">
        <v>17</v>
      </c>
      <c r="B20" s="5" t="inlineStr">
        <is>
          <t>Investment Banking &amp; Capital Mkts</t>
        </is>
      </c>
      <c r="C20" s="6" t="inlineStr">
        <is>
          <t>Geopolitical Risk</t>
        </is>
      </c>
      <c r="D20" s="5" t="inlineStr">
        <is>
          <t>Market disruption from geopolitical tensions.</t>
        </is>
      </c>
      <c r="E20" s="5" t="inlineStr">
        <is>
          <t>Conflicts or policy changes affecting investor sentiment.</t>
        </is>
      </c>
      <c r="F20" s="5" t="inlineStr">
        <is>
          <t>Decline in deal volumes and market liquidity.</t>
        </is>
      </c>
      <c r="G20" s="7" t="inlineStr">
        <is>
          <t>Almost Certain</t>
        </is>
      </c>
      <c r="H20" s="7" t="inlineStr">
        <is>
          <t>Major</t>
        </is>
      </c>
      <c r="I20" s="8" t="n">
        <v>20</v>
      </c>
      <c r="J20" s="8" t="inlineStr">
        <is>
          <t>CATASTROPHIC</t>
        </is>
      </c>
      <c r="K20" s="9" t="inlineStr">
        <is>
          <t>REDUCE</t>
        </is>
      </c>
      <c r="L20" s="7" t="inlineStr">
        <is>
          <t>Possible</t>
        </is>
      </c>
      <c r="M20" s="7" t="inlineStr">
        <is>
          <t>Major</t>
        </is>
      </c>
      <c r="N20" s="16" t="n">
        <v>12</v>
      </c>
      <c r="O20" s="16" t="inlineStr">
        <is>
          <t>HIGH</t>
        </is>
      </c>
      <c r="P20" s="16" t="n">
        <v>12</v>
      </c>
      <c r="Q20" s="5" t="inlineStr">
        <is>
          <t>Track geopolitical news and market reactions.</t>
        </is>
      </c>
      <c r="R20" s="10" t="inlineStr">
        <is>
          <t>Ongoing</t>
        </is>
      </c>
    </row>
    <row r="21" ht="46" customHeight="1">
      <c r="A21" s="11" t="n">
        <v>18</v>
      </c>
      <c r="B21" s="12" t="inlineStr">
        <is>
          <t>Investment Banking &amp; Capital Mkts</t>
        </is>
      </c>
      <c r="C21" s="13" t="inlineStr">
        <is>
          <t>Deal Execution Risk</t>
        </is>
      </c>
      <c r="D21" s="12" t="inlineStr">
        <is>
          <t>Failure or delay in closing advisory or underwriting deals.</t>
        </is>
      </c>
      <c r="E21" s="12" t="inlineStr">
        <is>
          <t>Market volatility or client withdrawal.</t>
        </is>
      </c>
      <c r="F21" s="12" t="inlineStr">
        <is>
          <t>Lost revenue and client relationship strain.</t>
        </is>
      </c>
      <c r="G21" s="14" t="inlineStr">
        <is>
          <t>Possible</t>
        </is>
      </c>
      <c r="H21" s="14" t="inlineStr">
        <is>
          <t>Moderate</t>
        </is>
      </c>
      <c r="I21" s="16" t="n">
        <v>9</v>
      </c>
      <c r="J21" s="16" t="inlineStr">
        <is>
          <t>HIGH</t>
        </is>
      </c>
      <c r="K21" s="9" t="inlineStr">
        <is>
          <t>REDUCE</t>
        </is>
      </c>
      <c r="L21" s="14" t="inlineStr">
        <is>
          <t>Unlikely</t>
        </is>
      </c>
      <c r="M21" s="14" t="inlineStr">
        <is>
          <t>Minor</t>
        </is>
      </c>
      <c r="N21" s="19" t="n">
        <v>4</v>
      </c>
      <c r="O21" s="19" t="inlineStr">
        <is>
          <t>LOW</t>
        </is>
      </c>
      <c r="P21" s="19" t="n">
        <v>4</v>
      </c>
      <c r="Q21" s="12" t="inlineStr">
        <is>
          <t>Monitor deal timelines and client communication.</t>
        </is>
      </c>
      <c r="R21" s="18" t="inlineStr">
        <is>
          <t>In Progress</t>
        </is>
      </c>
    </row>
    <row r="22" ht="46" customHeight="1">
      <c r="A22" s="4" t="n">
        <v>19</v>
      </c>
      <c r="B22" s="5" t="inlineStr">
        <is>
          <t>Research</t>
        </is>
      </c>
      <c r="C22" s="6" t="inlineStr">
        <is>
          <t>Forecasting Risk</t>
        </is>
      </c>
      <c r="D22" s="5" t="inlineStr">
        <is>
          <t>Inaccurate market or economic forecasts.</t>
        </is>
      </c>
      <c r="E22" s="5" t="inlineStr">
        <is>
          <t>Data limitations or incorrect assumptions.</t>
        </is>
      </c>
      <c r="F22" s="5" t="inlineStr">
        <is>
          <t>Reputational impact and investor misinformation.</t>
        </is>
      </c>
      <c r="G22" s="7" t="inlineStr">
        <is>
          <t>Possible</t>
        </is>
      </c>
      <c r="H22" s="7" t="inlineStr">
        <is>
          <t>Minor</t>
        </is>
      </c>
      <c r="I22" s="17" t="n">
        <v>6</v>
      </c>
      <c r="J22" s="17" t="inlineStr">
        <is>
          <t>MODERATE</t>
        </is>
      </c>
      <c r="K22" s="9" t="inlineStr">
        <is>
          <t>ACCEPT</t>
        </is>
      </c>
      <c r="L22" s="7" t="inlineStr">
        <is>
          <t>Possible</t>
        </is>
      </c>
      <c r="M22" s="7" t="inlineStr">
        <is>
          <t>Minor</t>
        </is>
      </c>
      <c r="N22" s="17" t="n">
        <v>6</v>
      </c>
      <c r="O22" s="17" t="inlineStr">
        <is>
          <t>MODERATE</t>
        </is>
      </c>
      <c r="P22" s="17" t="n">
        <v>6</v>
      </c>
      <c r="Q22" s="5" t="inlineStr">
        <is>
          <t>Review assumptions and back-test forecasts.</t>
        </is>
      </c>
      <c r="R22" s="10" t="inlineStr">
        <is>
          <t>Ongoing</t>
        </is>
      </c>
    </row>
    <row r="23" ht="46" customHeight="1">
      <c r="A23" s="11" t="n">
        <v>20</v>
      </c>
      <c r="B23" s="12" t="inlineStr">
        <is>
          <t>Sustainable Investing</t>
        </is>
      </c>
      <c r="C23" s="13" t="inlineStr">
        <is>
          <t>Greenwashing Risk</t>
        </is>
      </c>
      <c r="D23" s="12" t="inlineStr">
        <is>
          <t>Misrepresentation of ESG credentials in investments.</t>
        </is>
      </c>
      <c r="E23" s="12" t="inlineStr">
        <is>
          <t>Inadequate ESG verification or oversight.</t>
        </is>
      </c>
      <c r="F23" s="12" t="inlineStr">
        <is>
          <t>Regulatory sanctions and reputational loss.</t>
        </is>
      </c>
      <c r="G23" s="14" t="inlineStr">
        <is>
          <t>Rare</t>
        </is>
      </c>
      <c r="H23" s="14" t="inlineStr">
        <is>
          <t>Catastrophic</t>
        </is>
      </c>
      <c r="I23" s="17" t="n">
        <v>5</v>
      </c>
      <c r="J23" s="17" t="inlineStr">
        <is>
          <t>MODERATE</t>
        </is>
      </c>
      <c r="K23" s="9" t="inlineStr">
        <is>
          <t>REDUCE</t>
        </is>
      </c>
      <c r="L23" s="14" t="inlineStr">
        <is>
          <t>Rare</t>
        </is>
      </c>
      <c r="M23" s="14" t="inlineStr">
        <is>
          <t>Major</t>
        </is>
      </c>
      <c r="N23" s="19" t="n">
        <v>4</v>
      </c>
      <c r="O23" s="19" t="inlineStr">
        <is>
          <t>LOW</t>
        </is>
      </c>
      <c r="P23" s="19" t="n">
        <v>4</v>
      </c>
      <c r="Q23" s="12" t="inlineStr">
        <is>
          <t>Validate ESG data and disclosure accuracy.</t>
        </is>
      </c>
      <c r="R23" s="10" t="inlineStr">
        <is>
          <t>Ongoing</t>
        </is>
      </c>
    </row>
    <row r="24" ht="46" customHeight="1">
      <c r="A24" s="4" t="n">
        <v>21</v>
      </c>
      <c r="B24" s="5" t="inlineStr">
        <is>
          <t>Sales &amp; Trading</t>
        </is>
      </c>
      <c r="C24" s="6" t="inlineStr">
        <is>
          <t>Leverage Risk</t>
        </is>
      </c>
      <c r="D24" s="5" t="inlineStr">
        <is>
          <t>Excess leverage amplifies trading losses.</t>
        </is>
      </c>
      <c r="E24" s="5" t="inlineStr">
        <is>
          <t>Aggressive balance-sheet usage or margin positions.</t>
        </is>
      </c>
      <c r="F24" s="5" t="inlineStr">
        <is>
          <t>Capital erosion and regulatory breaches.</t>
        </is>
      </c>
      <c r="G24" s="7" t="inlineStr">
        <is>
          <t>Likely</t>
        </is>
      </c>
      <c r="H24" s="7" t="inlineStr">
        <is>
          <t>Catastrophic</t>
        </is>
      </c>
      <c r="I24" s="8" t="n">
        <v>20</v>
      </c>
      <c r="J24" s="8" t="inlineStr">
        <is>
          <t>CATASTROPHIC</t>
        </is>
      </c>
      <c r="K24" s="9" t="inlineStr">
        <is>
          <t>REDUCE</t>
        </is>
      </c>
      <c r="L24" s="7" t="inlineStr">
        <is>
          <t>Unlikely</t>
        </is>
      </c>
      <c r="M24" s="7" t="inlineStr">
        <is>
          <t>Major</t>
        </is>
      </c>
      <c r="N24" s="17" t="n">
        <v>8</v>
      </c>
      <c r="O24" s="17" t="inlineStr">
        <is>
          <t>MODERATE</t>
        </is>
      </c>
      <c r="P24" s="17" t="n">
        <v>8</v>
      </c>
      <c r="Q24" s="5" t="inlineStr">
        <is>
          <t>Track leverage ratios and margin usage.</t>
        </is>
      </c>
      <c r="R24" s="10" t="inlineStr">
        <is>
          <t>Ongoing</t>
        </is>
      </c>
    </row>
    <row r="25" ht="46" customHeight="1">
      <c r="A25" s="11" t="n">
        <v>22</v>
      </c>
      <c r="B25" s="12" t="inlineStr">
        <is>
          <t>Sales &amp; Trading</t>
        </is>
      </c>
      <c r="C25" s="13" t="inlineStr">
        <is>
          <t>Commodity Risk</t>
        </is>
      </c>
      <c r="D25" s="12" t="inlineStr">
        <is>
          <t>Price swings in commodities impact trading portfolios.</t>
        </is>
      </c>
      <c r="E25" s="12" t="inlineStr">
        <is>
          <t>Supply-demand shocks and geopolitical factors.</t>
        </is>
      </c>
      <c r="F25" s="12" t="inlineStr">
        <is>
          <t>Losses from unfavorable price moves.</t>
        </is>
      </c>
      <c r="G25" s="14" t="inlineStr">
        <is>
          <t>Likely</t>
        </is>
      </c>
      <c r="H25" s="14" t="inlineStr">
        <is>
          <t>Major</t>
        </is>
      </c>
      <c r="I25" s="15" t="n">
        <v>16</v>
      </c>
      <c r="J25" s="15" t="inlineStr">
        <is>
          <t>VERY HIGH</t>
        </is>
      </c>
      <c r="K25" s="9" t="inlineStr">
        <is>
          <t>REDUCE</t>
        </is>
      </c>
      <c r="L25" s="14" t="inlineStr">
        <is>
          <t>Possible</t>
        </is>
      </c>
      <c r="M25" s="14" t="inlineStr">
        <is>
          <t>Major</t>
        </is>
      </c>
      <c r="N25" s="16" t="n">
        <v>12</v>
      </c>
      <c r="O25" s="16" t="inlineStr">
        <is>
          <t>HIGH</t>
        </is>
      </c>
      <c r="P25" s="16" t="n">
        <v>12</v>
      </c>
      <c r="Q25" s="12" t="inlineStr">
        <is>
          <t>Monitor commodity prices and exposure levels.</t>
        </is>
      </c>
      <c r="R25" s="10" t="inlineStr">
        <is>
          <t>Ongoing</t>
        </is>
      </c>
    </row>
    <row r="26" ht="46" customHeight="1">
      <c r="A26" s="4" t="n">
        <v>23</v>
      </c>
      <c r="B26" s="5" t="inlineStr">
        <is>
          <t>Sales &amp; Trading</t>
        </is>
      </c>
      <c r="C26" s="6" t="inlineStr">
        <is>
          <t>Conduct Risk</t>
        </is>
      </c>
      <c r="D26" s="5" t="inlineStr">
        <is>
          <t>Misconduct in trading or client interactions.</t>
        </is>
      </c>
      <c r="E26" s="5" t="inlineStr">
        <is>
          <t>Breach of ethical standards or incentive misalignment.</t>
        </is>
      </c>
      <c r="F26" s="5" t="inlineStr">
        <is>
          <t>Fines, legal action, and reputational harm.</t>
        </is>
      </c>
      <c r="G26" s="7" t="inlineStr">
        <is>
          <t>Possible</t>
        </is>
      </c>
      <c r="H26" s="7" t="inlineStr">
        <is>
          <t>Major</t>
        </is>
      </c>
      <c r="I26" s="16" t="n">
        <v>12</v>
      </c>
      <c r="J26" s="16" t="inlineStr">
        <is>
          <t>HIGH</t>
        </is>
      </c>
      <c r="K26" s="9" t="inlineStr">
        <is>
          <t>REDUCE</t>
        </is>
      </c>
      <c r="L26" s="7" t="inlineStr">
        <is>
          <t>Unlikely</t>
        </is>
      </c>
      <c r="M26" s="7" t="inlineStr">
        <is>
          <t>Moderate</t>
        </is>
      </c>
      <c r="N26" s="17" t="n">
        <v>6</v>
      </c>
      <c r="O26" s="17" t="inlineStr">
        <is>
          <t>MODERATE</t>
        </is>
      </c>
      <c r="P26" s="17" t="n">
        <v>6</v>
      </c>
      <c r="Q26" s="5" t="inlineStr">
        <is>
          <t>Review behaviour reports, ethics incidents, and complaints.</t>
        </is>
      </c>
      <c r="R26" s="18" t="inlineStr">
        <is>
          <t>In Progress</t>
        </is>
      </c>
    </row>
    <row r="27" ht="46" customHeight="1">
      <c r="A27" s="11" t="n">
        <v>24</v>
      </c>
      <c r="B27" s="12" t="inlineStr">
        <is>
          <t>Morgan Stanley at Work</t>
        </is>
      </c>
      <c r="C27" s="13" t="inlineStr">
        <is>
          <t>Legal/Tax Risk</t>
        </is>
      </c>
      <c r="D27" s="12" t="inlineStr">
        <is>
          <t>Misinterpretation of tax laws for employee programs.</t>
        </is>
      </c>
      <c r="E27" s="12" t="inlineStr">
        <is>
          <t>Complex, changing tax and employment regulations.</t>
        </is>
      </c>
      <c r="F27" s="12" t="inlineStr">
        <is>
          <t>Penalties or back taxes and client dissatisfaction.</t>
        </is>
      </c>
      <c r="G27" s="14" t="inlineStr">
        <is>
          <t>Possible</t>
        </is>
      </c>
      <c r="H27" s="14" t="inlineStr">
        <is>
          <t>Moderate</t>
        </is>
      </c>
      <c r="I27" s="16" t="n">
        <v>9</v>
      </c>
      <c r="J27" s="16" t="inlineStr">
        <is>
          <t>HIGH</t>
        </is>
      </c>
      <c r="K27" s="9" t="inlineStr">
        <is>
          <t>SHARE</t>
        </is>
      </c>
      <c r="L27" s="14" t="inlineStr">
        <is>
          <t>Unlikely</t>
        </is>
      </c>
      <c r="M27" s="14" t="inlineStr">
        <is>
          <t>Minor</t>
        </is>
      </c>
      <c r="N27" s="19" t="n">
        <v>4</v>
      </c>
      <c r="O27" s="19" t="inlineStr">
        <is>
          <t>LOW</t>
        </is>
      </c>
      <c r="P27" s="19" t="n">
        <v>4</v>
      </c>
      <c r="Q27" s="12" t="inlineStr">
        <is>
          <t>Track tax law updates and compliance checks.</t>
        </is>
      </c>
      <c r="R27" s="10" t="inlineStr">
        <is>
          <t>Ongoing</t>
        </is>
      </c>
    </row>
    <row r="28" ht="46" customHeight="1">
      <c r="A28" s="4" t="n">
        <v>25</v>
      </c>
      <c r="B28" s="5" t="inlineStr">
        <is>
          <t>Research</t>
        </is>
      </c>
      <c r="C28" s="6" t="inlineStr">
        <is>
          <t>IP Risk</t>
        </is>
      </c>
      <c r="D28" s="5" t="inlineStr">
        <is>
          <t>Loss or misuse of proprietary research models or data.</t>
        </is>
      </c>
      <c r="E28" s="5" t="inlineStr">
        <is>
          <t>Inadequate IP protection or data leaks.</t>
        </is>
      </c>
      <c r="F28" s="5" t="inlineStr">
        <is>
          <t>Competitive disadvantage and reputational loss.</t>
        </is>
      </c>
      <c r="G28" s="7" t="inlineStr">
        <is>
          <t>Unlikely</t>
        </is>
      </c>
      <c r="H28" s="7" t="inlineStr">
        <is>
          <t>Moderate</t>
        </is>
      </c>
      <c r="I28" s="17" t="n">
        <v>6</v>
      </c>
      <c r="J28" s="17" t="inlineStr">
        <is>
          <t>MODERATE</t>
        </is>
      </c>
      <c r="K28" s="9" t="inlineStr">
        <is>
          <t>REDUCE</t>
        </is>
      </c>
      <c r="L28" s="7" t="inlineStr">
        <is>
          <t>Unlikely</t>
        </is>
      </c>
      <c r="M28" s="7" t="inlineStr">
        <is>
          <t>Minor</t>
        </is>
      </c>
      <c r="N28" s="19" t="n">
        <v>4</v>
      </c>
      <c r="O28" s="19" t="inlineStr">
        <is>
          <t>LOW</t>
        </is>
      </c>
      <c r="P28" s="19" t="n">
        <v>4</v>
      </c>
      <c r="Q28" s="5" t="inlineStr">
        <is>
          <t>Monitor access to research models and data.</t>
        </is>
      </c>
      <c r="R28" s="10" t="inlineStr">
        <is>
          <t>Ongoing</t>
        </is>
      </c>
    </row>
    <row r="29" ht="46" customHeight="1">
      <c r="A29" s="11" t="n">
        <v>26</v>
      </c>
      <c r="B29" s="12" t="inlineStr">
        <is>
          <t>Investment Banking &amp; Capital Mkts</t>
        </is>
      </c>
      <c r="C29" s="13" t="inlineStr">
        <is>
          <t>Competition Risk</t>
        </is>
      </c>
      <c r="D29" s="12" t="inlineStr">
        <is>
          <t>Loss of market share to competitors.</t>
        </is>
      </c>
      <c r="E29" s="12" t="inlineStr">
        <is>
          <t>Pricing pressure and client migration.</t>
        </is>
      </c>
      <c r="F29" s="12" t="inlineStr">
        <is>
          <t>Lower revenues and profit margins.</t>
        </is>
      </c>
      <c r="G29" s="14" t="inlineStr">
        <is>
          <t>Likely</t>
        </is>
      </c>
      <c r="H29" s="14" t="inlineStr">
        <is>
          <t>Moderate</t>
        </is>
      </c>
      <c r="I29" s="16" t="n">
        <v>12</v>
      </c>
      <c r="J29" s="16" t="inlineStr">
        <is>
          <t>HIGH</t>
        </is>
      </c>
      <c r="K29" s="9" t="inlineStr">
        <is>
          <t>REDUCE</t>
        </is>
      </c>
      <c r="L29" s="14" t="inlineStr">
        <is>
          <t>Possible</t>
        </is>
      </c>
      <c r="M29" s="14" t="inlineStr">
        <is>
          <t>Moderate</t>
        </is>
      </c>
      <c r="N29" s="16" t="n">
        <v>9</v>
      </c>
      <c r="O29" s="16" t="inlineStr">
        <is>
          <t>HIGH</t>
        </is>
      </c>
      <c r="P29" s="16" t="n">
        <v>9</v>
      </c>
      <c r="Q29" s="12" t="inlineStr">
        <is>
          <t>Track market share, pricing trends, and competitor moves.</t>
        </is>
      </c>
      <c r="R29" s="18" t="inlineStr">
        <is>
          <t>In Progress</t>
        </is>
      </c>
    </row>
    <row r="30" ht="46" customHeight="1">
      <c r="A30" s="4" t="n">
        <v>27</v>
      </c>
      <c r="B30" s="5" t="inlineStr">
        <is>
          <t>Inclusive &amp; Sustainable Ventures</t>
        </is>
      </c>
      <c r="C30" s="6" t="inlineStr">
        <is>
          <t>Scalability Risk</t>
        </is>
      </c>
      <c r="D30" s="5" t="inlineStr">
        <is>
          <t>Inability to scale venture operations efficiently.</t>
        </is>
      </c>
      <c r="E30" s="5" t="inlineStr">
        <is>
          <t>Limited infrastructure or funding for expansion.</t>
        </is>
      </c>
      <c r="F30" s="5" t="inlineStr">
        <is>
          <t>Growth stagnation and opportunity loss.</t>
        </is>
      </c>
      <c r="G30" s="7" t="inlineStr">
        <is>
          <t>Possible</t>
        </is>
      </c>
      <c r="H30" s="7" t="inlineStr">
        <is>
          <t>Moderate</t>
        </is>
      </c>
      <c r="I30" s="16" t="n">
        <v>9</v>
      </c>
      <c r="J30" s="16" t="inlineStr">
        <is>
          <t>HIGH</t>
        </is>
      </c>
      <c r="K30" s="9" t="inlineStr">
        <is>
          <t>REDUCE</t>
        </is>
      </c>
      <c r="L30" s="7" t="inlineStr">
        <is>
          <t>Possible</t>
        </is>
      </c>
      <c r="M30" s="7" t="inlineStr">
        <is>
          <t>Minor</t>
        </is>
      </c>
      <c r="N30" s="17" t="n">
        <v>6</v>
      </c>
      <c r="O30" s="17" t="inlineStr">
        <is>
          <t>MODERATE</t>
        </is>
      </c>
      <c r="P30" s="17" t="n">
        <v>6</v>
      </c>
      <c r="Q30" s="5" t="inlineStr">
        <is>
          <t>Monitor system capacity, resource availability, and scaling metrics.</t>
        </is>
      </c>
      <c r="R30" s="18" t="inlineStr">
        <is>
          <t>In Progress</t>
        </is>
      </c>
    </row>
    <row r="31" ht="18" customHeight="1">
      <c r="A31" s="21" t="inlineStr">
        <is>
          <t>RATING LEGEND  →  LOW (1–4)  |  MODERATE (5–8)  |  HIGH (9–12)  |  VERY HIGH (13–16)  |  CATASTROPHIC (17–25)</t>
        </is>
      </c>
    </row>
  </sheetData>
  <mergeCells count="3">
    <mergeCell ref="A31:R31"/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16" customWidth="1" min="5" max="5"/>
    <col width="22" customWidth="1" min="6" max="6"/>
    <col width="12" customWidth="1" min="7" max="7"/>
  </cols>
  <sheetData>
    <row r="1" ht="28" customHeight="1">
      <c r="A1" s="22" t="inlineStr">
        <is>
          <t>VALUE AT RISK (VaR) ANALYSIS  –  Monte Carlo Simulation  |  N = 100,000  |  Portfolio Value: $1,000mm</t>
        </is>
      </c>
    </row>
    <row r="2" ht="16" customHeight="1">
      <c r="A2" s="23" t="inlineStr">
        <is>
          <t>Daily VaR estimates at 95% and 99% confidence levels with Expected Shortfall (CVaR)</t>
        </is>
      </c>
    </row>
    <row r="3" ht="30" customHeight="1">
      <c r="A3" s="3" t="inlineStr">
        <is>
          <t>Risk Category</t>
        </is>
      </c>
      <c r="B3" s="3" t="inlineStr">
        <is>
          <t>σ (Daily Vol)</t>
        </is>
      </c>
      <c r="C3" s="3" t="inlineStr">
        <is>
          <t>μ (Daily Drift)</t>
        </is>
      </c>
      <c r="D3" s="3" t="inlineStr">
        <is>
          <t>VaR 95% ($mm)</t>
        </is>
      </c>
      <c r="E3" s="3" t="inlineStr">
        <is>
          <t>VaR 99% ($mm)</t>
        </is>
      </c>
      <c r="F3" s="3" t="inlineStr">
        <is>
          <t>Expected Shortfall ($mm)</t>
        </is>
      </c>
      <c r="G3" s="3" t="inlineStr">
        <is>
          <t>Risk Tier</t>
        </is>
      </c>
    </row>
    <row r="4" ht="20" customHeight="1">
      <c r="A4" s="6" t="inlineStr">
        <is>
          <t>Market Risk</t>
        </is>
      </c>
      <c r="B4" s="24" t="n">
        <v>0.025</v>
      </c>
      <c r="C4" s="25" t="n">
        <v>-0.0005</v>
      </c>
      <c r="D4" s="26" t="n">
        <v>41.59</v>
      </c>
      <c r="E4" s="26" t="n">
        <v>58.87</v>
      </c>
      <c r="F4" s="27" t="n">
        <v>52.12</v>
      </c>
      <c r="G4" s="8" t="inlineStr">
        <is>
          <t>CRITICAL</t>
        </is>
      </c>
    </row>
    <row r="5" ht="20" customHeight="1">
      <c r="A5" s="13" t="inlineStr">
        <is>
          <t>Leverage Risk</t>
        </is>
      </c>
      <c r="B5" s="28" t="n">
        <v>0.03</v>
      </c>
      <c r="C5" s="29" t="n">
        <v>-0.0005999999999999999</v>
      </c>
      <c r="D5" s="30" t="n">
        <v>49.82</v>
      </c>
      <c r="E5" s="30" t="n">
        <v>70.61</v>
      </c>
      <c r="F5" s="31" t="n">
        <v>62.3</v>
      </c>
      <c r="G5" s="8" t="inlineStr">
        <is>
          <t>CRITICAL</t>
        </is>
      </c>
    </row>
    <row r="6" ht="20" customHeight="1">
      <c r="A6" s="6" t="inlineStr">
        <is>
          <t>Counterparty Risk</t>
        </is>
      </c>
      <c r="B6" s="24" t="n">
        <v>0.018</v>
      </c>
      <c r="C6" s="25" t="n">
        <v>-0.0004</v>
      </c>
      <c r="D6" s="26" t="n">
        <v>30.04</v>
      </c>
      <c r="E6" s="26" t="n">
        <v>42.76</v>
      </c>
      <c r="F6" s="27" t="n">
        <v>37.71</v>
      </c>
      <c r="G6" s="16" t="inlineStr">
        <is>
          <t>HIGH</t>
        </is>
      </c>
    </row>
    <row r="7" ht="20" customHeight="1">
      <c r="A7" s="13" t="inlineStr">
        <is>
          <t>Commodity Risk</t>
        </is>
      </c>
      <c r="B7" s="28" t="n">
        <v>0.02</v>
      </c>
      <c r="C7" s="29" t="n">
        <v>-0.0003</v>
      </c>
      <c r="D7" s="30" t="n">
        <v>33.15</v>
      </c>
      <c r="E7" s="30" t="n">
        <v>46.78</v>
      </c>
      <c r="F7" s="31" t="n">
        <v>41.58</v>
      </c>
      <c r="G7" s="16" t="inlineStr">
        <is>
          <t>HIGH</t>
        </is>
      </c>
    </row>
    <row r="8" ht="20" customHeight="1">
      <c r="A8" s="6" t="inlineStr">
        <is>
          <t>Credit Risk</t>
        </is>
      </c>
      <c r="B8" s="24" t="n">
        <v>0.015</v>
      </c>
      <c r="C8" s="25" t="n">
        <v>-0.0003</v>
      </c>
      <c r="D8" s="26" t="n">
        <v>24.9</v>
      </c>
      <c r="E8" s="26" t="n">
        <v>35.05</v>
      </c>
      <c r="F8" s="27" t="n">
        <v>31.24</v>
      </c>
      <c r="G8" s="16" t="inlineStr">
        <is>
          <t>HIGH</t>
        </is>
      </c>
    </row>
    <row r="9" ht="20" customHeight="1">
      <c r="A9" s="13" t="inlineStr">
        <is>
          <t>Interest Rate Risk</t>
        </is>
      </c>
      <c r="B9" s="28" t="n">
        <v>0.014</v>
      </c>
      <c r="C9" s="29" t="n">
        <v>-0.0002</v>
      </c>
      <c r="D9" s="30" t="n">
        <v>23.27</v>
      </c>
      <c r="E9" s="30" t="n">
        <v>32.71</v>
      </c>
      <c r="F9" s="31" t="n">
        <v>29.1</v>
      </c>
      <c r="G9" s="17" t="inlineStr">
        <is>
          <t>MODERATE</t>
        </is>
      </c>
    </row>
    <row r="10" ht="20" customHeight="1">
      <c r="A10" s="6" t="inlineStr">
        <is>
          <t>Liquidity Risk</t>
        </is>
      </c>
      <c r="B10" s="24" t="n">
        <v>0.012</v>
      </c>
      <c r="C10" s="25" t="n">
        <v>-0.0002</v>
      </c>
      <c r="D10" s="26" t="n">
        <v>19.92</v>
      </c>
      <c r="E10" s="26" t="n">
        <v>28.24</v>
      </c>
      <c r="F10" s="27" t="n">
        <v>25.04</v>
      </c>
      <c r="G10" s="17" t="inlineStr">
        <is>
          <t>MODERATE</t>
        </is>
      </c>
    </row>
    <row r="11" ht="20" customHeight="1">
      <c r="A11" s="13" t="inlineStr">
        <is>
          <t>FX Risk</t>
        </is>
      </c>
      <c r="B11" s="28" t="n">
        <v>0.01</v>
      </c>
      <c r="C11" s="29" t="n">
        <v>-0.0001</v>
      </c>
      <c r="D11" s="30" t="n">
        <v>16.67</v>
      </c>
      <c r="E11" s="30" t="n">
        <v>23.36</v>
      </c>
      <c r="F11" s="31" t="n">
        <v>20.77</v>
      </c>
      <c r="G11" s="17" t="inlineStr">
        <is>
          <t>MODERATE</t>
        </is>
      </c>
    </row>
    <row r="12" ht="20" customHeight="1">
      <c r="A12" s="32" t="inlineStr">
        <is>
          <t>TOTAL / COMBINED VaR (Simple Sum)</t>
        </is>
      </c>
      <c r="B12" s="33" t="n"/>
      <c r="C12" s="33" t="n"/>
      <c r="D12" s="34">
        <f>SUM(D4:D11)</f>
        <v/>
      </c>
      <c r="E12" s="34">
        <f>SUM(E4:E11)</f>
        <v/>
      </c>
      <c r="F12" s="34">
        <f>SUM(F4:F11)</f>
        <v/>
      </c>
      <c r="G12" s="33" t="n"/>
    </row>
    <row r="14">
      <c r="A14" s="35" t="inlineStr">
        <is>
          <t>METHODOLOGY NOTES</t>
        </is>
      </c>
    </row>
    <row r="15" ht="16" customHeight="1">
      <c r="A15" s="36" t="inlineStr">
        <is>
          <t>• VaR 95%: Maximum expected loss over 1 day with 95% confidence (exceedance probability = 5%)</t>
        </is>
      </c>
    </row>
    <row r="16" ht="16" customHeight="1">
      <c r="A16" s="36" t="inlineStr">
        <is>
          <t>• VaR 99%: Maximum expected loss over 1 day with 99% confidence (exceedance probability = 1%)</t>
        </is>
      </c>
    </row>
    <row r="17" ht="16" customHeight="1">
      <c r="A17" s="36" t="inlineStr">
        <is>
          <t>• Expected Shortfall (CVaR): Average loss in the worst 5% of scenarios – a coherent risk measure beyond VaR</t>
        </is>
      </c>
    </row>
    <row r="18" ht="16" customHeight="1">
      <c r="A18" s="36" t="inlineStr">
        <is>
          <t>• Simulation: Parametric Monte Carlo with 100,000 random draws from Normal distribution per risk type</t>
        </is>
      </c>
    </row>
    <row r="19" ht="16" customHeight="1">
      <c r="A19" s="36" t="inlineStr">
        <is>
          <t>• Portfolio Value: $1,000mm (notional reference). Actual MS exposures are significantly larger.</t>
        </is>
      </c>
    </row>
    <row r="20" ht="16" customHeight="1">
      <c r="A20" s="36" t="inlineStr">
        <is>
          <t>• Correlation effects not modelled; combined VaR represents an upper bound (additive, not portfolio-adjusted)</t>
        </is>
      </c>
    </row>
  </sheetData>
  <mergeCells count="9">
    <mergeCell ref="A14:G14"/>
    <mergeCell ref="A1:G1"/>
    <mergeCell ref="A17:G17"/>
    <mergeCell ref="A18:G18"/>
    <mergeCell ref="A20:G20"/>
    <mergeCell ref="A2:G2"/>
    <mergeCell ref="A16:G16"/>
    <mergeCell ref="A15:G15"/>
    <mergeCell ref="A19:G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4" customWidth="1" min="4" max="4"/>
    <col width="12" customWidth="1" min="5" max="5"/>
    <col width="20" customWidth="1" min="6" max="6"/>
    <col width="12" customWidth="1" min="7" max="7"/>
    <col width="12" customWidth="1" min="8" max="8"/>
  </cols>
  <sheetData>
    <row r="1" ht="28" customHeight="1">
      <c r="A1" s="22" t="inlineStr">
        <is>
          <t>SCENARIO ANALYSIS  –  Portfolio Impact Under Stress Scenarios  |  Portfolio Value: $1,000mm</t>
        </is>
      </c>
    </row>
    <row r="2" ht="16" customHeight="1">
      <c r="A2" s="23" t="inlineStr">
        <is>
          <t>Weighted impact across Market, Credit, Liquidity, and Interest Rate drivers</t>
        </is>
      </c>
    </row>
    <row r="3" ht="30" customHeight="1">
      <c r="A3" s="3" t="inlineStr">
        <is>
          <t>Scenario</t>
        </is>
      </c>
      <c r="B3" s="3" t="inlineStr">
        <is>
          <t>Market Shock</t>
        </is>
      </c>
      <c r="C3" s="3" t="inlineStr">
        <is>
          <t>Credit Shock</t>
        </is>
      </c>
      <c r="D3" s="3" t="inlineStr">
        <is>
          <t>Liquidity Shock</t>
        </is>
      </c>
      <c r="E3" s="3" t="inlineStr">
        <is>
          <t>Rate Shock</t>
        </is>
      </c>
      <c r="F3" s="3" t="inlineStr">
        <is>
          <t>Portfolio Impact ($mm)</t>
        </is>
      </c>
      <c r="G3" s="3" t="inlineStr">
        <is>
          <t>Impact (%)</t>
        </is>
      </c>
      <c r="H3" s="3" t="inlineStr">
        <is>
          <t>Severity</t>
        </is>
      </c>
    </row>
    <row r="4" ht="20" customHeight="1">
      <c r="A4" s="6" t="inlineStr">
        <is>
          <t>Base Case</t>
        </is>
      </c>
      <c r="B4" s="7" t="inlineStr">
        <is>
          <t>0.0%</t>
        </is>
      </c>
      <c r="C4" s="7" t="inlineStr">
        <is>
          <t>0.0%</t>
        </is>
      </c>
      <c r="D4" s="7" t="inlineStr">
        <is>
          <t>0.0%</t>
        </is>
      </c>
      <c r="E4" s="7" t="inlineStr">
        <is>
          <t>0.0%</t>
        </is>
      </c>
      <c r="F4" s="37" t="n">
        <v>0</v>
      </c>
      <c r="G4" s="38" t="n">
        <v>0</v>
      </c>
      <c r="H4" s="19" t="inlineStr">
        <is>
          <t>None</t>
        </is>
      </c>
    </row>
    <row r="5" ht="20" customHeight="1">
      <c r="A5" s="13" t="inlineStr">
        <is>
          <t>Mild Recession</t>
        </is>
      </c>
      <c r="B5" s="14" t="inlineStr">
        <is>
          <t>-15.0%</t>
        </is>
      </c>
      <c r="C5" s="14" t="inlineStr">
        <is>
          <t>-10.0%</t>
        </is>
      </c>
      <c r="D5" s="14" t="inlineStr">
        <is>
          <t>-5.0%</t>
        </is>
      </c>
      <c r="E5" s="14" t="inlineStr">
        <is>
          <t>+1.0%</t>
        </is>
      </c>
      <c r="F5" s="39" t="n">
        <v>-93.5</v>
      </c>
      <c r="G5" s="40" t="n">
        <v>-0.0935</v>
      </c>
      <c r="H5" s="41" t="inlineStr">
        <is>
          <t>Low</t>
        </is>
      </c>
    </row>
    <row r="6" ht="20" customHeight="1">
      <c r="A6" s="6" t="inlineStr">
        <is>
          <t>Severe Recession</t>
        </is>
      </c>
      <c r="B6" s="7" t="inlineStr">
        <is>
          <t>-35.0%</t>
        </is>
      </c>
      <c r="C6" s="7" t="inlineStr">
        <is>
          <t>-25.0%</t>
        </is>
      </c>
      <c r="D6" s="7" t="inlineStr">
        <is>
          <t>-15.0%</t>
        </is>
      </c>
      <c r="E6" s="7" t="inlineStr">
        <is>
          <t>+3.0%</t>
        </is>
      </c>
      <c r="F6" s="39" t="n">
        <v>-228</v>
      </c>
      <c r="G6" s="40" t="n">
        <v>-0.228</v>
      </c>
      <c r="H6" s="8" t="inlineStr">
        <is>
          <t>High</t>
        </is>
      </c>
    </row>
    <row r="7" ht="20" customHeight="1">
      <c r="A7" s="13" t="inlineStr">
        <is>
          <t>Geopolitical Shock</t>
        </is>
      </c>
      <c r="B7" s="14" t="inlineStr">
        <is>
          <t>-20.0%</t>
        </is>
      </c>
      <c r="C7" s="14" t="inlineStr">
        <is>
          <t>-12.0%</t>
        </is>
      </c>
      <c r="D7" s="14" t="inlineStr">
        <is>
          <t>-8.0%</t>
        </is>
      </c>
      <c r="E7" s="14" t="inlineStr">
        <is>
          <t>+2.0%</t>
        </is>
      </c>
      <c r="F7" s="39" t="n">
        <v>-123</v>
      </c>
      <c r="G7" s="40" t="n">
        <v>-0.123</v>
      </c>
      <c r="H7" s="15" t="inlineStr">
        <is>
          <t>Medium</t>
        </is>
      </c>
    </row>
    <row r="8" ht="20" customHeight="1">
      <c r="A8" s="6" t="inlineStr">
        <is>
          <t>Rate Hike +300bps</t>
        </is>
      </c>
      <c r="B8" s="7" t="inlineStr">
        <is>
          <t>-12.0%</t>
        </is>
      </c>
      <c r="C8" s="7" t="inlineStr">
        <is>
          <t>-8.0%</t>
        </is>
      </c>
      <c r="D8" s="7" t="inlineStr">
        <is>
          <t>-3.0%</t>
        </is>
      </c>
      <c r="E8" s="7" t="inlineStr">
        <is>
          <t>+5.0%</t>
        </is>
      </c>
      <c r="F8" s="39" t="n">
        <v>-66.5</v>
      </c>
      <c r="G8" s="40" t="n">
        <v>-0.0665</v>
      </c>
      <c r="H8" s="42" t="inlineStr">
        <is>
          <t>Low-Med</t>
        </is>
      </c>
    </row>
    <row r="9" ht="20" customHeight="1">
      <c r="A9" s="13" t="inlineStr">
        <is>
          <t>Cyber Attack</t>
        </is>
      </c>
      <c r="B9" s="14" t="inlineStr">
        <is>
          <t>-5.0%</t>
        </is>
      </c>
      <c r="C9" s="14" t="inlineStr">
        <is>
          <t>-3.0%</t>
        </is>
      </c>
      <c r="D9" s="14" t="inlineStr">
        <is>
          <t>-10.0%</t>
        </is>
      </c>
      <c r="E9" s="14" t="inlineStr">
        <is>
          <t>0.0%</t>
        </is>
      </c>
      <c r="F9" s="39" t="n">
        <v>-47.5</v>
      </c>
      <c r="G9" s="40" t="n">
        <v>-0.0475</v>
      </c>
      <c r="H9" s="42" t="inlineStr">
        <is>
          <t>Low-Med</t>
        </is>
      </c>
    </row>
    <row r="10" ht="20" customHeight="1">
      <c r="A10" s="6" t="inlineStr">
        <is>
          <t>ESG Regulatory Shock</t>
        </is>
      </c>
      <c r="B10" s="7" t="inlineStr">
        <is>
          <t>-8.0%</t>
        </is>
      </c>
      <c r="C10" s="7" t="inlineStr">
        <is>
          <t>-5.0%</t>
        </is>
      </c>
      <c r="D10" s="7" t="inlineStr">
        <is>
          <t>-2.0%</t>
        </is>
      </c>
      <c r="E10" s="7" t="inlineStr">
        <is>
          <t>+1.0%</t>
        </is>
      </c>
      <c r="F10" s="39" t="n">
        <v>-47</v>
      </c>
      <c r="G10" s="40" t="n">
        <v>-0.047</v>
      </c>
      <c r="H10" s="42" t="inlineStr">
        <is>
          <t>Low-Med</t>
        </is>
      </c>
    </row>
    <row r="12" ht="18" customHeight="1">
      <c r="A12" s="43" t="inlineStr">
        <is>
          <t>SCENARIO WEIGHTS (used in impact calculation)</t>
        </is>
      </c>
      <c r="B12" s="33" t="n"/>
      <c r="C12" s="33" t="n"/>
      <c r="D12" s="33" t="n"/>
      <c r="E12" s="33" t="n"/>
      <c r="F12" s="33" t="n"/>
      <c r="G12" s="33" t="n"/>
      <c r="H12" s="33" t="n"/>
    </row>
    <row r="13">
      <c r="A13" s="44" t="inlineStr">
        <is>
          <t>Driver</t>
        </is>
      </c>
      <c r="B13" s="44" t="inlineStr">
        <is>
          <t>Weight</t>
        </is>
      </c>
      <c r="C13" s="44" t="inlineStr">
        <is>
          <t>Rationale</t>
        </is>
      </c>
      <c r="D13" s="33" t="n"/>
      <c r="E13" s="33" t="n"/>
      <c r="F13" s="33" t="n"/>
      <c r="G13" s="33" t="n"/>
      <c r="H13" s="33" t="n"/>
    </row>
    <row r="14" ht="16" customHeight="1">
      <c r="A14" s="6" t="inlineStr">
        <is>
          <t>Market Shock</t>
        </is>
      </c>
      <c r="B14" s="7" t="inlineStr">
        <is>
          <t>40%</t>
        </is>
      </c>
      <c r="C14" s="5" t="inlineStr">
        <is>
          <t>Largest P&amp;L driver for Sales &amp; Trading segments</t>
        </is>
      </c>
      <c r="D14" s="33" t="n"/>
      <c r="E14" s="33" t="n"/>
      <c r="F14" s="33" t="n"/>
      <c r="G14" s="33" t="n"/>
      <c r="H14" s="33" t="n"/>
    </row>
    <row r="15" ht="16" customHeight="1">
      <c r="A15" s="13" t="inlineStr">
        <is>
          <t>Credit Shock</t>
        </is>
      </c>
      <c r="B15" s="14" t="inlineStr">
        <is>
          <t>25%</t>
        </is>
      </c>
      <c r="C15" s="12" t="inlineStr">
        <is>
          <t>Wealth &amp; IB credit exposure (loans, counterparties)</t>
        </is>
      </c>
      <c r="D15" s="33" t="n"/>
      <c r="E15" s="33" t="n"/>
      <c r="F15" s="33" t="n"/>
      <c r="G15" s="33" t="n"/>
      <c r="H15" s="33" t="n"/>
    </row>
    <row r="16" ht="16" customHeight="1">
      <c r="A16" s="6" t="inlineStr">
        <is>
          <t>Liquidity Shock</t>
        </is>
      </c>
      <c r="B16" s="7" t="inlineStr">
        <is>
          <t>20%</t>
        </is>
      </c>
      <c r="C16" s="5" t="inlineStr">
        <is>
          <t>Funding cost increases and collateral margin calls</t>
        </is>
      </c>
      <c r="D16" s="33" t="n"/>
      <c r="E16" s="33" t="n"/>
      <c r="F16" s="33" t="n"/>
      <c r="G16" s="33" t="n"/>
      <c r="H16" s="33" t="n"/>
    </row>
    <row r="17" ht="16" customHeight="1">
      <c r="A17" s="13" t="inlineStr">
        <is>
          <t>Rate Shock</t>
        </is>
      </c>
      <c r="B17" s="14" t="inlineStr">
        <is>
          <t>15%</t>
        </is>
      </c>
      <c r="C17" s="12" t="inlineStr">
        <is>
          <t>ALM sensitivity in Wealth and fixed-income portfolios</t>
        </is>
      </c>
      <c r="D17" s="33" t="n"/>
      <c r="E17" s="33" t="n"/>
      <c r="F17" s="33" t="n"/>
      <c r="G17" s="33" t="n"/>
      <c r="H17" s="33" t="n"/>
    </row>
  </sheetData>
  <mergeCells count="7">
    <mergeCell ref="A12:H12"/>
    <mergeCell ref="C16:H16"/>
    <mergeCell ref="C14:H14"/>
    <mergeCell ref="A2:H2"/>
    <mergeCell ref="C17:H17"/>
    <mergeCell ref="A1:H1"/>
    <mergeCell ref="C15:H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22" customWidth="1" min="4" max="4"/>
    <col width="18" customWidth="1" min="5" max="5"/>
    <col width="22" customWidth="1" min="6" max="6"/>
    <col width="18" customWidth="1" min="7" max="7"/>
  </cols>
  <sheetData>
    <row r="1" ht="28" customHeight="1">
      <c r="A1" s="22" t="inlineStr">
        <is>
          <t>HISTORICAL STRESS TESTING  –  Morgan Stanley Portfolio  |  Based on Major Market Events</t>
        </is>
      </c>
    </row>
    <row r="2" ht="16" customHeight="1">
      <c r="A2" s="23" t="inlineStr">
        <is>
          <t>Applies historical drawdown percentages to hypothetical $1,000mm portfolio with estimated recovery periods</t>
        </is>
      </c>
    </row>
    <row r="3" ht="30" customHeight="1">
      <c r="A3" s="3" t="inlineStr">
        <is>
          <t>Historical Scenario</t>
        </is>
      </c>
      <c r="B3" s="3" t="inlineStr">
        <is>
          <t>Period</t>
        </is>
      </c>
      <c r="C3" s="3" t="inlineStr">
        <is>
          <t>Peak Loss (%)</t>
        </is>
      </c>
      <c r="D3" s="3" t="inlineStr">
        <is>
          <t>Portfolio Loss ($mm)</t>
        </is>
      </c>
      <c r="E3" s="3" t="inlineStr">
        <is>
          <t>Recovery (Months)</t>
        </is>
      </c>
      <c r="F3" s="3" t="inlineStr">
        <is>
          <t>Key Risk Driver</t>
        </is>
      </c>
      <c r="G3" s="3" t="inlineStr">
        <is>
          <t>Severity Assessment</t>
        </is>
      </c>
    </row>
    <row r="4" ht="22" customHeight="1">
      <c r="A4" s="6" t="inlineStr">
        <is>
          <t>2008 Global Financial Crisis</t>
        </is>
      </c>
      <c r="B4" s="5" t="inlineStr">
        <is>
          <t>Sep 2008 – Mar 2009</t>
        </is>
      </c>
      <c r="C4" s="45" t="n">
        <v>-38.5</v>
      </c>
      <c r="D4" s="39" t="n">
        <v>-385</v>
      </c>
      <c r="E4" s="7" t="n">
        <v>48</v>
      </c>
      <c r="F4" s="5" t="inlineStr">
        <is>
          <t>Credit &amp; Liquidity</t>
        </is>
      </c>
      <c r="G4" s="8" t="inlineStr">
        <is>
          <t>SEVERE</t>
        </is>
      </c>
    </row>
    <row r="5" ht="22" customHeight="1">
      <c r="A5" s="13" t="inlineStr">
        <is>
          <t>2020 COVID-19 Market Crash</t>
        </is>
      </c>
      <c r="B5" s="12" t="inlineStr">
        <is>
          <t>Feb 2020 – Mar 2020</t>
        </is>
      </c>
      <c r="C5" s="45" t="n">
        <v>-33.9</v>
      </c>
      <c r="D5" s="39" t="n">
        <v>-339</v>
      </c>
      <c r="E5" s="14" t="n">
        <v>6</v>
      </c>
      <c r="F5" s="12" t="inlineStr">
        <is>
          <t>Market &amp; Liquidity</t>
        </is>
      </c>
      <c r="G5" s="16" t="inlineStr">
        <is>
          <t>HIGH</t>
        </is>
      </c>
    </row>
    <row r="6" ht="22" customHeight="1">
      <c r="A6" s="6" t="inlineStr">
        <is>
          <t>2022 Rate Shock</t>
        </is>
      </c>
      <c r="B6" s="5" t="inlineStr">
        <is>
          <t>Jan 2022 – Oct 2022</t>
        </is>
      </c>
      <c r="C6" s="45" t="n">
        <v>-19.4</v>
      </c>
      <c r="D6" s="39" t="n">
        <v>-194</v>
      </c>
      <c r="E6" s="7" t="n">
        <v>18</v>
      </c>
      <c r="F6" s="5" t="inlineStr">
        <is>
          <t>Interest Rate</t>
        </is>
      </c>
      <c r="G6" s="16" t="inlineStr">
        <is>
          <t>HIGH</t>
        </is>
      </c>
    </row>
    <row r="7" ht="22" customHeight="1">
      <c r="A7" s="13" t="inlineStr">
        <is>
          <t>2010 Flash Crash</t>
        </is>
      </c>
      <c r="B7" s="12" t="inlineStr">
        <is>
          <t>May 6, 2010</t>
        </is>
      </c>
      <c r="C7" s="45" t="n">
        <v>-9.199999999999999</v>
      </c>
      <c r="D7" s="39" t="n">
        <v>-92</v>
      </c>
      <c r="E7" s="14" t="n">
        <v>3</v>
      </c>
      <c r="F7" s="12" t="inlineStr">
        <is>
          <t>Market / Algorithmic</t>
        </is>
      </c>
      <c r="G7" s="17" t="inlineStr">
        <is>
          <t>MODERATE</t>
        </is>
      </c>
    </row>
    <row r="8" ht="22" customHeight="1">
      <c r="A8" s="6" t="inlineStr">
        <is>
          <t>1998 Russian Default / LTCM</t>
        </is>
      </c>
      <c r="B8" s="5" t="inlineStr">
        <is>
          <t>Aug 1998 – Oct 1998</t>
        </is>
      </c>
      <c r="C8" s="45" t="n">
        <v>-20</v>
      </c>
      <c r="D8" s="39" t="n">
        <v>-200</v>
      </c>
      <c r="E8" s="7" t="n">
        <v>24</v>
      </c>
      <c r="F8" s="5" t="inlineStr">
        <is>
          <t>Counterparty / Credit</t>
        </is>
      </c>
      <c r="G8" s="16" t="inlineStr">
        <is>
          <t>HIGH</t>
        </is>
      </c>
    </row>
    <row r="9" ht="22" customHeight="1">
      <c r="A9" s="13" t="inlineStr">
        <is>
          <t>2000–02 Dot-com Bust</t>
        </is>
      </c>
      <c r="B9" s="12" t="inlineStr">
        <is>
          <t>Mar 2000 – Oct 2002</t>
        </is>
      </c>
      <c r="C9" s="45" t="n">
        <v>-49.1</v>
      </c>
      <c r="D9" s="39" t="n">
        <v>-491</v>
      </c>
      <c r="E9" s="14" t="n">
        <v>60</v>
      </c>
      <c r="F9" s="12" t="inlineStr">
        <is>
          <t>Market / Valuation</t>
        </is>
      </c>
      <c r="G9" s="8" t="inlineStr">
        <is>
          <t>SEVERE</t>
        </is>
      </c>
    </row>
    <row r="11" ht="18" customHeight="1">
      <c r="A11" s="43" t="inlineStr">
        <is>
          <t>STRESS TEST SUMMARY STATISTICS</t>
        </is>
      </c>
      <c r="B11" s="33" t="n"/>
      <c r="C11" s="33" t="n"/>
      <c r="D11" s="33" t="n"/>
      <c r="E11" s="33" t="n"/>
      <c r="F11" s="33" t="n"/>
      <c r="G11" s="33" t="n"/>
    </row>
    <row r="12" ht="16" customHeight="1">
      <c r="A12" s="6" t="inlineStr">
        <is>
          <t>Worst Case Loss:</t>
        </is>
      </c>
      <c r="B12" s="5" t="inlineStr">
        <is>
          <t>-$491mm (-49.1%) — Dot-com Bust 2000–02</t>
        </is>
      </c>
      <c r="C12" s="33" t="n"/>
      <c r="D12" s="33" t="n"/>
      <c r="E12" s="33" t="n"/>
      <c r="F12" s="33" t="n"/>
      <c r="G12" s="33" t="n"/>
    </row>
    <row r="13" ht="16" customHeight="1">
      <c r="A13" s="6" t="inlineStr">
        <is>
          <t>Average Historical Loss:</t>
        </is>
      </c>
      <c r="B13" s="5" t="inlineStr">
        <is>
          <t>-$283.5mm (-28.4%)</t>
        </is>
      </c>
      <c r="C13" s="33" t="n"/>
      <c r="D13" s="33" t="n"/>
      <c r="E13" s="33" t="n"/>
      <c r="F13" s="33" t="n"/>
      <c r="G13" s="33" t="n"/>
    </row>
    <row r="14" ht="16" customHeight="1">
      <c r="A14" s="6" t="inlineStr">
        <is>
          <t>Fastest Recovery:</t>
        </is>
      </c>
      <c r="B14" s="5" t="inlineStr">
        <is>
          <t>3 months — 2010 Flash Crash</t>
        </is>
      </c>
      <c r="C14" s="33" t="n"/>
      <c r="D14" s="33" t="n"/>
      <c r="E14" s="33" t="n"/>
      <c r="F14" s="33" t="n"/>
      <c r="G14" s="33" t="n"/>
    </row>
    <row r="15" ht="16" customHeight="1">
      <c r="A15" s="6" t="inlineStr">
        <is>
          <t>Slowest Recovery:</t>
        </is>
      </c>
      <c r="B15" s="5" t="inlineStr">
        <is>
          <t>60 months — Dot-com Bust 2000–02</t>
        </is>
      </c>
      <c r="C15" s="33" t="n"/>
      <c r="D15" s="33" t="n"/>
      <c r="E15" s="33" t="n"/>
      <c r="F15" s="33" t="n"/>
      <c r="G15" s="33" t="n"/>
    </row>
    <row r="16" ht="16" customHeight="1">
      <c r="A16" s="6" t="inlineStr">
        <is>
          <t>Capital Adequacy Threshold:</t>
        </is>
      </c>
      <c r="B16" s="5" t="inlineStr">
        <is>
          <t>$200mm buffer recommended under Basel III stress framework</t>
        </is>
      </c>
      <c r="C16" s="33" t="n"/>
      <c r="D16" s="33" t="n"/>
      <c r="E16" s="33" t="n"/>
      <c r="F16" s="33" t="n"/>
      <c r="G16" s="33" t="n"/>
    </row>
  </sheetData>
  <mergeCells count="8">
    <mergeCell ref="B16:G16"/>
    <mergeCell ref="A1:G1"/>
    <mergeCell ref="B14:G14"/>
    <mergeCell ref="A2:G2"/>
    <mergeCell ref="B12:G12"/>
    <mergeCell ref="B13:G13"/>
    <mergeCell ref="A11:G11"/>
    <mergeCell ref="B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22" t="inlineStr">
        <is>
          <t>RISK SUMMARY  –  Key Metrics &amp; Findings</t>
        </is>
      </c>
    </row>
    <row r="3" ht="22" customHeight="1">
      <c r="A3" s="46" t="inlineStr">
        <is>
          <t>Total Risks Identified</t>
        </is>
      </c>
      <c r="B3" s="47" t="inlineStr">
        <is>
          <t>Critical/Very High Risks</t>
        </is>
      </c>
      <c r="C3" s="48" t="inlineStr">
        <is>
          <t>High Risks</t>
        </is>
      </c>
      <c r="D3" s="49" t="inlineStr">
        <is>
          <t>Risks Treated (Reduced)</t>
        </is>
      </c>
      <c r="E3" s="50" t="inlineStr">
        <is>
          <t>Avg. Risk Reduction</t>
        </is>
      </c>
      <c r="F3" s="46" t="inlineStr">
        <is>
          <t>Sectors Assessed</t>
        </is>
      </c>
    </row>
    <row r="4" ht="22" customHeight="1"/>
    <row r="5" ht="30" customHeight="1">
      <c r="A5" s="51" t="inlineStr">
        <is>
          <t>27</t>
        </is>
      </c>
      <c r="B5" s="52" t="inlineStr">
        <is>
          <t>6</t>
        </is>
      </c>
      <c r="C5" s="53" t="inlineStr">
        <is>
          <t>7</t>
        </is>
      </c>
      <c r="D5" s="54" t="inlineStr">
        <is>
          <t>21</t>
        </is>
      </c>
      <c r="E5" s="55" t="inlineStr">
        <is>
          <t>5.6 pts</t>
        </is>
      </c>
      <c r="F5" s="51" t="inlineStr">
        <is>
          <t>8</t>
        </is>
      </c>
    </row>
    <row r="6" ht="30" customHeight="1"/>
    <row r="8" ht="18" customHeight="1">
      <c r="A8" s="43" t="inlineStr">
        <is>
          <t>TOP 10 RISKS BY INHERENT RATING</t>
        </is>
      </c>
      <c r="B8" s="33" t="n"/>
      <c r="C8" s="33" t="n"/>
      <c r="D8" s="33" t="n"/>
      <c r="E8" s="33" t="n"/>
      <c r="F8" s="33" t="n"/>
    </row>
    <row r="9" ht="22" customHeight="1">
      <c r="A9" s="44" t="inlineStr">
        <is>
          <t>Risk ID</t>
        </is>
      </c>
      <c r="B9" s="44" t="inlineStr">
        <is>
          <t>Risk Category</t>
        </is>
      </c>
      <c r="C9" s="44" t="inlineStr">
        <is>
          <t>Sector</t>
        </is>
      </c>
      <c r="D9" s="44" t="inlineStr">
        <is>
          <t>Inherent Rating</t>
        </is>
      </c>
      <c r="E9" s="44" t="inlineStr">
        <is>
          <t>Residual Rating</t>
        </is>
      </c>
      <c r="F9" s="44" t="inlineStr">
        <is>
          <t>Reduction</t>
        </is>
      </c>
    </row>
    <row r="10" ht="20" customHeight="1">
      <c r="A10" s="4" t="n">
        <v>1</v>
      </c>
      <c r="B10" s="6" t="inlineStr">
        <is>
          <t>Market Risk</t>
        </is>
      </c>
      <c r="C10" s="5" t="inlineStr">
        <is>
          <t>Sales &amp; Trading</t>
        </is>
      </c>
      <c r="D10" s="8" t="n">
        <v>25</v>
      </c>
      <c r="E10" s="8" t="n">
        <v>25</v>
      </c>
      <c r="F10" s="42" t="inlineStr">
        <is>
          <t>-0 pts</t>
        </is>
      </c>
    </row>
    <row r="11" ht="20" customHeight="1">
      <c r="A11" s="11" t="n">
        <v>12</v>
      </c>
      <c r="B11" s="13" t="inlineStr">
        <is>
          <t>Cybersecurity Risk</t>
        </is>
      </c>
      <c r="C11" s="12" t="inlineStr">
        <is>
          <t>Wealth Management</t>
        </is>
      </c>
      <c r="D11" s="8" t="n">
        <v>20</v>
      </c>
      <c r="E11" s="16" t="n">
        <v>12</v>
      </c>
      <c r="F11" s="19" t="inlineStr">
        <is>
          <t>-8 pts</t>
        </is>
      </c>
    </row>
    <row r="12" ht="20" customHeight="1">
      <c r="A12" s="4" t="n">
        <v>17</v>
      </c>
      <c r="B12" s="6" t="inlineStr">
        <is>
          <t>Geopolitical Risk</t>
        </is>
      </c>
      <c r="C12" s="5" t="inlineStr">
        <is>
          <t>Investment Banking &amp; Capi</t>
        </is>
      </c>
      <c r="D12" s="8" t="n">
        <v>20</v>
      </c>
      <c r="E12" s="16" t="n">
        <v>12</v>
      </c>
      <c r="F12" s="19" t="inlineStr">
        <is>
          <t>-8 pts</t>
        </is>
      </c>
    </row>
    <row r="13" ht="20" customHeight="1">
      <c r="A13" s="11" t="n">
        <v>21</v>
      </c>
      <c r="B13" s="13" t="inlineStr">
        <is>
          <t>Leverage Risk</t>
        </is>
      </c>
      <c r="C13" s="12" t="inlineStr">
        <is>
          <t>Sales &amp; Trading</t>
        </is>
      </c>
      <c r="D13" s="8" t="n">
        <v>20</v>
      </c>
      <c r="E13" s="17" t="n">
        <v>8</v>
      </c>
      <c r="F13" s="19" t="inlineStr">
        <is>
          <t>-12 pts</t>
        </is>
      </c>
    </row>
    <row r="14" ht="20" customHeight="1">
      <c r="A14" s="4" t="n">
        <v>2</v>
      </c>
      <c r="B14" s="6" t="inlineStr">
        <is>
          <t>Credit Risk</t>
        </is>
      </c>
      <c r="C14" s="5" t="inlineStr">
        <is>
          <t>Wealth Management</t>
        </is>
      </c>
      <c r="D14" s="15" t="n">
        <v>16</v>
      </c>
      <c r="E14" s="16" t="n">
        <v>12</v>
      </c>
      <c r="F14" s="17" t="inlineStr">
        <is>
          <t>-4 pts</t>
        </is>
      </c>
    </row>
    <row r="15" ht="20" customHeight="1">
      <c r="A15" s="11" t="n">
        <v>8</v>
      </c>
      <c r="B15" s="13" t="inlineStr">
        <is>
          <t>Interest Rate Risk</t>
        </is>
      </c>
      <c r="C15" s="12" t="inlineStr">
        <is>
          <t>Wealth Management</t>
        </is>
      </c>
      <c r="D15" s="15" t="n">
        <v>16</v>
      </c>
      <c r="E15" s="16" t="n">
        <v>12</v>
      </c>
      <c r="F15" s="17" t="inlineStr">
        <is>
          <t>-4 pts</t>
        </is>
      </c>
    </row>
    <row r="16" ht="20" customHeight="1">
      <c r="A16" s="4" t="n">
        <v>22</v>
      </c>
      <c r="B16" s="6" t="inlineStr">
        <is>
          <t>Commodity Risk</t>
        </is>
      </c>
      <c r="C16" s="5" t="inlineStr">
        <is>
          <t>Sales &amp; Trading</t>
        </is>
      </c>
      <c r="D16" s="15" t="n">
        <v>16</v>
      </c>
      <c r="E16" s="16" t="n">
        <v>12</v>
      </c>
      <c r="F16" s="17" t="inlineStr">
        <is>
          <t>-4 pts</t>
        </is>
      </c>
    </row>
    <row r="17" ht="20" customHeight="1">
      <c r="A17" s="11" t="n">
        <v>3</v>
      </c>
      <c r="B17" s="13" t="inlineStr">
        <is>
          <t>Liquidity Risk</t>
        </is>
      </c>
      <c r="C17" s="12" t="inlineStr">
        <is>
          <t>Sales &amp; Trading</t>
        </is>
      </c>
      <c r="D17" s="15" t="n">
        <v>15</v>
      </c>
      <c r="E17" s="17" t="n">
        <v>8</v>
      </c>
      <c r="F17" s="17" t="inlineStr">
        <is>
          <t>-7 pts</t>
        </is>
      </c>
    </row>
    <row r="18" ht="20" customHeight="1">
      <c r="A18" s="4" t="n">
        <v>6</v>
      </c>
      <c r="B18" s="6" t="inlineStr">
        <is>
          <t>Regulatory/Compliance Risk</t>
        </is>
      </c>
      <c r="C18" s="5" t="inlineStr">
        <is>
          <t>Investment Banking &amp; Capi</t>
        </is>
      </c>
      <c r="D18" s="15" t="n">
        <v>15</v>
      </c>
      <c r="E18" s="17" t="n">
        <v>8</v>
      </c>
      <c r="F18" s="17" t="inlineStr">
        <is>
          <t>-7 pts</t>
        </is>
      </c>
    </row>
    <row r="19" ht="20" customHeight="1">
      <c r="A19" s="11" t="n">
        <v>11</v>
      </c>
      <c r="B19" s="13" t="inlineStr">
        <is>
          <t>Counterparty Risk</t>
        </is>
      </c>
      <c r="C19" s="12" t="inlineStr">
        <is>
          <t>Sales &amp; Trading</t>
        </is>
      </c>
      <c r="D19" s="15" t="n">
        <v>15</v>
      </c>
      <c r="E19" s="16" t="n">
        <v>12</v>
      </c>
      <c r="F19" s="42" t="inlineStr">
        <is>
          <t>-3 pts</t>
        </is>
      </c>
    </row>
    <row r="21" ht="18" customHeight="1">
      <c r="A21" s="43" t="inlineStr">
        <is>
          <t>KEY FINDINGS &amp; RECOMMENDATIONS</t>
        </is>
      </c>
      <c r="B21" s="33" t="n"/>
      <c r="C21" s="33" t="n"/>
      <c r="D21" s="33" t="n"/>
      <c r="E21" s="33" t="n"/>
      <c r="F21" s="33" t="n"/>
    </row>
    <row r="22" ht="30" customHeight="1">
      <c r="A22" s="56" t="inlineStr">
        <is>
          <t>1. MARKET RISK (Score: 25) remains the highest inherent risk – daily VaR at 99% = $58.87mm. Continuous stress testing and P&amp;L monitoring are critical.</t>
        </is>
      </c>
      <c r="B22" s="33" t="n"/>
      <c r="C22" s="33" t="n"/>
      <c r="D22" s="33" t="n"/>
      <c r="E22" s="33" t="n"/>
      <c r="F22" s="33" t="n"/>
    </row>
    <row r="23" ht="30" customHeight="1">
      <c r="A23" s="57" t="inlineStr">
        <is>
          <t>2. LEVERAGE RISK posts the highest VaR 99% at $70.61mm due to high daily volatility (σ=3%). Strict leverage caps and intraday margin monitoring are recommended.</t>
        </is>
      </c>
      <c r="B23" s="33" t="n"/>
      <c r="C23" s="33" t="n"/>
      <c r="D23" s="33" t="n"/>
      <c r="E23" s="33" t="n"/>
      <c r="F23" s="33" t="n"/>
    </row>
    <row r="24" ht="30" customHeight="1">
      <c r="A24" s="56" t="inlineStr">
        <is>
          <t>3. GEOPOLITICAL RISK rated Almost Certain likelihood – diversification of operations and deal pipeline across geographies should be prioritised.</t>
        </is>
      </c>
      <c r="B24" s="33" t="n"/>
      <c r="C24" s="33" t="n"/>
      <c r="D24" s="33" t="n"/>
      <c r="E24" s="33" t="n"/>
      <c r="F24" s="33" t="n"/>
    </row>
    <row r="25" ht="30" customHeight="1">
      <c r="A25" s="57" t="inlineStr">
        <is>
          <t>4. CYBERSECURITY RISK (Active Monitoring) – only risk with 'Active Monitoring' status, reflecting elevated threat environment. Incident response readiness is paramount.</t>
        </is>
      </c>
      <c r="B25" s="33" t="n"/>
      <c r="C25" s="33" t="n"/>
      <c r="D25" s="33" t="n"/>
      <c r="E25" s="33" t="n"/>
      <c r="F25" s="33" t="n"/>
    </row>
    <row r="26" ht="30" customHeight="1">
      <c r="A26" s="56" t="inlineStr">
        <is>
          <t>5. SCENARIO ANALYSIS: A Severe Recession would cost an estimated -$228mm (-22.8% of portfolio). Capital buffers and hedges should be stress-tested against this threshold.</t>
        </is>
      </c>
      <c r="B26" s="33" t="n"/>
      <c r="C26" s="33" t="n"/>
      <c r="D26" s="33" t="n"/>
      <c r="E26" s="33" t="n"/>
      <c r="F26" s="33" t="n"/>
    </row>
    <row r="27" ht="30" customHeight="1">
      <c r="A27" s="57" t="inlineStr">
        <is>
          <t>6. HISTORICAL STRESS TEST: Dot-com bust represents worst case at -$491mm. Recovery period of 60 months underscores the importance of strategic diversification.</t>
        </is>
      </c>
      <c r="B27" s="33" t="n"/>
      <c r="C27" s="33" t="n"/>
      <c r="D27" s="33" t="n"/>
      <c r="E27" s="33" t="n"/>
      <c r="F27" s="33" t="n"/>
    </row>
    <row r="28" ht="30" customHeight="1">
      <c r="A28" s="56" t="inlineStr">
        <is>
          <t>7. TREATMENT EFFECTIVENESS: Average risk reduction of 5.6 rating points demonstrates control effectiveness. 9 risks remain at High or above post-treatment.</t>
        </is>
      </c>
      <c r="B28" s="33" t="n"/>
      <c r="C28" s="33" t="n"/>
      <c r="D28" s="33" t="n"/>
      <c r="E28" s="33" t="n"/>
      <c r="F28" s="33" t="n"/>
    </row>
  </sheetData>
  <mergeCells count="22">
    <mergeCell ref="E5:E6"/>
    <mergeCell ref="B3:B4"/>
    <mergeCell ref="A27:F27"/>
    <mergeCell ref="F3:F4"/>
    <mergeCell ref="F5:F6"/>
    <mergeCell ref="A26:F26"/>
    <mergeCell ref="A21:F21"/>
    <mergeCell ref="A3:A4"/>
    <mergeCell ref="A23:F23"/>
    <mergeCell ref="A8:F8"/>
    <mergeCell ref="D3:D4"/>
    <mergeCell ref="A22:F22"/>
    <mergeCell ref="A5:A6"/>
    <mergeCell ref="A28:F28"/>
    <mergeCell ref="B5:B6"/>
    <mergeCell ref="D5:D6"/>
    <mergeCell ref="A24:F24"/>
    <mergeCell ref="C3:C4"/>
    <mergeCell ref="A1:F1"/>
    <mergeCell ref="E3:E4"/>
    <mergeCell ref="A25:F25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2026-03-23T08:33:05Z</dcterms:created>
  <dcterms:modified xmlns:dcterms="http://purl.org/dc/terms/" xmlns:xsi="http://www.w3.org/2001/XMLSchema-instance" xsi:type="dcterms:W3CDTF">2026-03-23T08:33:05Z</dcterms:modified>
</cp:coreProperties>
</file>